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Dell\Desktop\Excelproject\"/>
    </mc:Choice>
  </mc:AlternateContent>
  <xr:revisionPtr revIDLastSave="0" documentId="13_ncr:1_{BE667D25-6FDF-4F84-AC69-B3546A7D7880}" xr6:coauthVersionLast="47" xr6:coauthVersionMax="47" xr10:uidLastSave="{00000000-0000-0000-0000-000000000000}"/>
  <bookViews>
    <workbookView xWindow="-110" yWindow="-110" windowWidth="19420" windowHeight="10420" activeTab="4" xr2:uid="{912A5ADD-DEE1-446C-91F7-78733523B235}"/>
  </bookViews>
  <sheets>
    <sheet name="Sheet1" sheetId="1" r:id="rId1"/>
    <sheet name="pivot" sheetId="9" r:id="rId2"/>
    <sheet name="Sheet4" sheetId="10" r:id="rId3"/>
    <sheet name="Expense Log" sheetId="4" r:id="rId4"/>
    <sheet name="Sales Entry" sheetId="2" r:id="rId5"/>
    <sheet name="Product List" sheetId="3" r:id="rId6"/>
    <sheet name="Settings" sheetId="5" r:id="rId7"/>
    <sheet name="Dashboard" sheetId="6" r:id="rId8"/>
    <sheet name="Metrics" sheetId="7" r:id="rId9"/>
  </sheets>
  <definedNames>
    <definedName name="Slicer_Date">#N/A</definedName>
  </definedNames>
  <calcPr calcId="191029"/>
  <pivotCaches>
    <pivotCache cacheId="1"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9" i="2" l="1"/>
  <c r="E29" i="2"/>
  <c r="C3" i="7" s="1"/>
  <c r="F29" i="2"/>
  <c r="C2" i="7" s="1"/>
  <c r="G29" i="2"/>
  <c r="C4" i="7" s="1"/>
  <c r="H29" i="2"/>
  <c r="C28" i="2"/>
  <c r="E28" i="2"/>
  <c r="F28" i="2"/>
  <c r="G28" i="2"/>
  <c r="H28" i="2"/>
  <c r="C27" i="2"/>
  <c r="E27" i="2"/>
  <c r="F27" i="2"/>
  <c r="G27" i="2"/>
  <c r="H27" i="2"/>
  <c r="C5" i="7"/>
  <c r="F21" i="3"/>
  <c r="C7" i="2"/>
  <c r="C8" i="2"/>
  <c r="C9" i="2"/>
  <c r="C11" i="2"/>
  <c r="C12" i="2"/>
  <c r="C13" i="2"/>
  <c r="C14" i="2"/>
  <c r="C15" i="2"/>
  <c r="C16" i="2"/>
  <c r="C17" i="2"/>
  <c r="C18" i="2"/>
  <c r="C19" i="2"/>
  <c r="C20" i="2"/>
  <c r="C21" i="2"/>
  <c r="C22" i="2"/>
  <c r="C23" i="2"/>
  <c r="C24" i="2"/>
  <c r="C25" i="2"/>
  <c r="C26" i="2"/>
  <c r="F14" i="3"/>
  <c r="F15" i="3"/>
  <c r="F16" i="3"/>
  <c r="F17" i="3"/>
  <c r="F18" i="3"/>
  <c r="F19" i="3"/>
  <c r="F20"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G2" i="2"/>
  <c r="H2" i="2" s="1"/>
  <c r="G7" i="2"/>
  <c r="H7" i="2" s="1"/>
  <c r="G12" i="2"/>
  <c r="H12" i="2" s="1"/>
  <c r="G13" i="2"/>
  <c r="H13" i="2" s="1"/>
  <c r="G14" i="2"/>
  <c r="H14" i="2" s="1"/>
  <c r="G15" i="2"/>
  <c r="H15" i="2" s="1"/>
  <c r="G16" i="2"/>
  <c r="H16" i="2" s="1"/>
  <c r="G17" i="2"/>
  <c r="H17" i="2" s="1"/>
  <c r="G18" i="2"/>
  <c r="H18" i="2" s="1"/>
  <c r="G19" i="2"/>
  <c r="H19" i="2" s="1"/>
  <c r="G20" i="2"/>
  <c r="H20" i="2" s="1"/>
  <c r="G21" i="2"/>
  <c r="H21" i="2" s="1"/>
  <c r="G22" i="2"/>
  <c r="H22" i="2" s="1"/>
  <c r="G23" i="2"/>
  <c r="H23" i="2" s="1"/>
  <c r="G24" i="2"/>
  <c r="H24" i="2" s="1"/>
  <c r="G25" i="2"/>
  <c r="H25" i="2" s="1"/>
  <c r="G26" i="2"/>
  <c r="H26" i="2" s="1"/>
  <c r="F2" i="2"/>
  <c r="F3" i="2"/>
  <c r="F4" i="2"/>
  <c r="F5" i="2"/>
  <c r="F6" i="2"/>
  <c r="F7" i="2"/>
  <c r="F8" i="2"/>
  <c r="F9" i="2"/>
  <c r="F11" i="2"/>
  <c r="F12" i="2"/>
  <c r="F13" i="2"/>
  <c r="F14" i="2"/>
  <c r="F15" i="2"/>
  <c r="F16" i="2"/>
  <c r="F17" i="2"/>
  <c r="F18" i="2"/>
  <c r="F19" i="2"/>
  <c r="F20" i="2"/>
  <c r="F21" i="2"/>
  <c r="F22" i="2"/>
  <c r="F23" i="2"/>
  <c r="F24" i="2"/>
  <c r="F25" i="2"/>
  <c r="F26" i="2"/>
  <c r="E2" i="2"/>
  <c r="E3" i="2"/>
  <c r="E4" i="2"/>
  <c r="E5" i="2"/>
  <c r="E6" i="2"/>
  <c r="E7" i="2"/>
  <c r="E8" i="2"/>
  <c r="E9" i="2"/>
  <c r="E11" i="2"/>
  <c r="E12" i="2"/>
  <c r="E13" i="2"/>
  <c r="E14" i="2"/>
  <c r="E15" i="2"/>
  <c r="E16" i="2"/>
  <c r="E17" i="2"/>
  <c r="E18" i="2"/>
  <c r="E19" i="2"/>
  <c r="E20" i="2"/>
  <c r="E21" i="2"/>
  <c r="E22" i="2"/>
  <c r="E23" i="2"/>
  <c r="E24" i="2"/>
  <c r="E25" i="2"/>
  <c r="E26" i="2"/>
  <c r="C4" i="2"/>
  <c r="C5" i="2"/>
  <c r="C6" i="2"/>
  <c r="C2" i="2"/>
  <c r="C3" i="2"/>
  <c r="C10" i="2"/>
  <c r="E10" i="2"/>
  <c r="F10" i="2"/>
  <c r="F3" i="3"/>
  <c r="G3" i="2" s="1"/>
  <c r="H3" i="2" s="1"/>
  <c r="F4" i="3"/>
  <c r="G5" i="2" s="1"/>
  <c r="H5" i="2" s="1"/>
  <c r="F5" i="3"/>
  <c r="F6" i="3"/>
  <c r="G8" i="2" s="1"/>
  <c r="H8" i="2" s="1"/>
  <c r="F7" i="3"/>
  <c r="F8" i="3"/>
  <c r="G9" i="2" s="1"/>
  <c r="H9" i="2" s="1"/>
  <c r="F9" i="3"/>
  <c r="F10" i="3"/>
  <c r="F11" i="3"/>
  <c r="F12" i="3"/>
  <c r="F13" i="3"/>
  <c r="F2" i="3"/>
  <c r="G6" i="2" l="1"/>
  <c r="H6" i="2" s="1"/>
  <c r="G10" i="2"/>
  <c r="H10" i="2" s="1"/>
  <c r="G11" i="2"/>
  <c r="H11" i="2" s="1"/>
  <c r="G4" i="2"/>
  <c r="H4" i="2" s="1"/>
  <c r="C6" i="7" l="1"/>
</calcChain>
</file>

<file path=xl/sharedStrings.xml><?xml version="1.0" encoding="utf-8"?>
<sst xmlns="http://schemas.openxmlformats.org/spreadsheetml/2006/main" count="267" uniqueCount="152">
  <si>
    <t>Sheet Name</t>
  </si>
  <si>
    <t>Purpose</t>
  </si>
  <si>
    <t>Dashboard</t>
  </si>
  <si>
    <t>Summary of sales, profits, top products, total revenue, and expenses</t>
  </si>
  <si>
    <t>Sales Entry</t>
  </si>
  <si>
    <t>Where users record daily sales per product (auto profit calc included)</t>
  </si>
  <si>
    <t>Product List</t>
  </si>
  <si>
    <t>Includes products, cost price, selling price, and auto profit per unit</t>
  </si>
  <si>
    <t>Expense Log</t>
  </si>
  <si>
    <t>For recording expenses like rent, electricity, transport, etc.</t>
  </si>
  <si>
    <t>Settings</t>
  </si>
  <si>
    <t>For drop-down values: product categories, payment types, etc.</t>
  </si>
  <si>
    <t xml:space="preserve">Product ID  </t>
  </si>
  <si>
    <t xml:space="preserve">Product Name </t>
  </si>
  <si>
    <t xml:space="preserve">Category  </t>
  </si>
  <si>
    <t xml:space="preserve"> Cost Price (₦) </t>
  </si>
  <si>
    <t>Selling Price (₦)</t>
  </si>
  <si>
    <t>Profit per Unit</t>
  </si>
  <si>
    <t>Stock Qty (Optional)</t>
  </si>
  <si>
    <t>Drinks</t>
  </si>
  <si>
    <t>Food</t>
  </si>
  <si>
    <t>Clothes</t>
  </si>
  <si>
    <t>Stationery</t>
  </si>
  <si>
    <t>Electronics</t>
  </si>
  <si>
    <t>Beauty</t>
  </si>
  <si>
    <t>Furniture</t>
  </si>
  <si>
    <t>Bread</t>
  </si>
  <si>
    <t>Body Lotion</t>
  </si>
  <si>
    <t>Earphone</t>
  </si>
  <si>
    <t>Pen Pack</t>
  </si>
  <si>
    <t>P001</t>
  </si>
  <si>
    <t>P002</t>
  </si>
  <si>
    <t>P003</t>
  </si>
  <si>
    <t>P004</t>
  </si>
  <si>
    <t xml:space="preserve"> Date   </t>
  </si>
  <si>
    <t>Product Name</t>
  </si>
  <si>
    <t xml:space="preserve">Category </t>
  </si>
  <si>
    <t xml:space="preserve"> Qty Sold</t>
  </si>
  <si>
    <t>Cost Price (₦)</t>
  </si>
  <si>
    <t xml:space="preserve">Profit per Unit  </t>
  </si>
  <si>
    <t>Total Profit (₦)</t>
  </si>
  <si>
    <t xml:space="preserve">Payment Mode      </t>
  </si>
  <si>
    <t>Payment Mode</t>
  </si>
  <si>
    <t>Cash</t>
  </si>
  <si>
    <t>Transfer</t>
  </si>
  <si>
    <t>POS</t>
  </si>
  <si>
    <t>Others</t>
  </si>
  <si>
    <t xml:space="preserve">Date  </t>
  </si>
  <si>
    <t>Expense Category</t>
  </si>
  <si>
    <t xml:space="preserve">Description    </t>
  </si>
  <si>
    <t xml:space="preserve">Payment Mode </t>
  </si>
  <si>
    <t xml:space="preserve"> Amount (₦)       </t>
  </si>
  <si>
    <r>
      <t>(Expense Category)</t>
    </r>
    <r>
      <rPr>
        <sz val="11"/>
        <color theme="1"/>
        <rFont val="Calibri"/>
        <family val="2"/>
        <scheme val="minor"/>
      </rPr>
      <t>:</t>
    </r>
  </si>
  <si>
    <t>Rent</t>
  </si>
  <si>
    <t>Utilities</t>
  </si>
  <si>
    <t>Transport</t>
  </si>
  <si>
    <t>Data</t>
  </si>
  <si>
    <t>Repairs</t>
  </si>
  <si>
    <t>Inventory Purchase</t>
  </si>
  <si>
    <t>Marketing</t>
  </si>
  <si>
    <t>Miscellaneous</t>
  </si>
  <si>
    <t>Label</t>
  </si>
  <si>
    <t>Description</t>
  </si>
  <si>
    <t>Formula (Sample)</t>
  </si>
  <si>
    <t>🟢 Total Sales</t>
  </si>
  <si>
    <t>🔵 Total Cost</t>
  </si>
  <si>
    <t>Total cost of goods sold</t>
  </si>
  <si>
    <t>🟠 Total Profit</t>
  </si>
  <si>
    <t>Total profit from all sales</t>
  </si>
  <si>
    <t>🔴 Total Expenses</t>
  </si>
  <si>
    <t>Total expenses logged</t>
  </si>
  <si>
    <t>🟣 Net Profit</t>
  </si>
  <si>
    <t>Profit - Expenses</t>
  </si>
  <si>
    <t>Coca cola</t>
  </si>
  <si>
    <t>Pepsi</t>
  </si>
  <si>
    <t>Maltina can</t>
  </si>
  <si>
    <t>Bottle water 50Cl</t>
  </si>
  <si>
    <t>Fruit juice pack</t>
  </si>
  <si>
    <t>Indomie Super pack</t>
  </si>
  <si>
    <t>Spaghettti</t>
  </si>
  <si>
    <t>Vegetable Oil(1L)</t>
  </si>
  <si>
    <t>Bread(Small loaf)</t>
  </si>
  <si>
    <t>Sachet Tomatoes Paste</t>
  </si>
  <si>
    <t>Men's Tshirt</t>
  </si>
  <si>
    <t>Ladies jeans</t>
  </si>
  <si>
    <t>School Uniform</t>
  </si>
  <si>
    <t>Face cap</t>
  </si>
  <si>
    <t>Sneakers</t>
  </si>
  <si>
    <t>Notebook</t>
  </si>
  <si>
    <t>A4 Paper (500 sheets)</t>
  </si>
  <si>
    <t>Exercise Book (60pgs)</t>
  </si>
  <si>
    <t>Calculator</t>
  </si>
  <si>
    <t>Phone Charger</t>
  </si>
  <si>
    <t>Power Bank (10,000mAh)</t>
  </si>
  <si>
    <t>Bluetooth Speaker</t>
  </si>
  <si>
    <t>Electric Iron</t>
  </si>
  <si>
    <t>Perfume Oil (Small)</t>
  </si>
  <si>
    <t>Powder Foundation</t>
  </si>
  <si>
    <t>Lip Gloss</t>
  </si>
  <si>
    <t>Hair Cream</t>
  </si>
  <si>
    <t>Boxer</t>
  </si>
  <si>
    <t>Total  sales</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</si>
  <si>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</si>
  <si>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</si>
  <si>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</si>
  <si>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</si>
  <si>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</si>
  <si>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</si>
  <si>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</si>
  <si>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</si>
  <si>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</si>
  <si>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</si>
  <si>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</si>
  <si>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</si>
  <si>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</si>
  <si>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</si>
  <si>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</si>
  <si>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</si>
  <si>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</si>
  <si>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</si>
  <si>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</si>
  <si>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</si>
  <si>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</si>
  <si>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</si>
  <si>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</si>
  <si>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</si>
  <si>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</si>
  <si>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</si>
  <si>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</si>
  <si>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</si>
  <si>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pay gas</t>
  </si>
  <si>
    <t>monthly plan</t>
  </si>
  <si>
    <t>advertisement</t>
  </si>
  <si>
    <t>pay</t>
  </si>
  <si>
    <t>paid</t>
  </si>
  <si>
    <t xml:space="preserve">paid this month </t>
  </si>
  <si>
    <t>Grand Total</t>
  </si>
  <si>
    <t>Apr</t>
  </si>
  <si>
    <t>May</t>
  </si>
  <si>
    <t>Jun</t>
  </si>
  <si>
    <t>Jul</t>
  </si>
  <si>
    <t>Aug</t>
  </si>
  <si>
    <t>Sep</t>
  </si>
  <si>
    <t>Oct</t>
  </si>
  <si>
    <t>Nov</t>
  </si>
  <si>
    <t>Dec</t>
  </si>
  <si>
    <t>Jan</t>
  </si>
  <si>
    <t>Feb</t>
  </si>
  <si>
    <t>Mar</t>
  </si>
  <si>
    <t>Sum of Selling Price (₦)</t>
  </si>
  <si>
    <t>Monthly sale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</si>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</sst>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6A]#,##0.00"/>
  </numFmts>
  <fonts count="4">
    <font>
      <sz val="11"/>
      <color theme="1"/>
      <name val="Calibri"/>
      <family val="2"/>
      <scheme val="minor"/>
    </font>
    <font>
      <b/>
      <sz val="11"/>
      <color theme="1"/>
      <name val="Calibri"/>
      <family val="2"/>
      <scheme val="minor"/>
    </font>
    <font>
      <sz val="10"/>
      <color theme="1"/>
      <name val="Arial Unicode MS"/>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xf numFmtId="0" fontId="1" fillId="0" borderId="0" xfId="0" applyFont="1"/>
    <xf numFmtId="164" fontId="0" fillId="0" borderId="0" xfId="0" applyNumberFormat="1"/>
    <xf numFmtId="14" fontId="0" fillId="0" borderId="0" xfId="0" applyNumberFormat="1"/>
    <xf numFmtId="164" fontId="2" fillId="0" borderId="0" xfId="0" applyNumberFormat="1" applyFont="1" applyAlignment="1">
      <alignment vertical="center" wrapText="1"/>
    </xf>
    <xf numFmtId="0" fontId="0" fillId="0" borderId="0" xfId="0" pivotButton="1"/>
    <xf numFmtId="14" fontId="0" fillId="0" borderId="0" xfId="0" applyNumberFormat="1" applyAlignment="1">
      <alignment horizontal="left"/>
    </xf>
    <xf numFmtId="0" fontId="0" fillId="0" borderId="0" xfId="0" applyAlignment="1">
      <alignment horizontal="left"/>
    </xf>
    <xf numFmtId="164" fontId="0" fillId="0" borderId="0" xfId="0" applyNumberFormat="1" applyFont="1" applyAlignment="1">
      <alignment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pivot!$A$32:$A$37</c:f>
              <c:strCache>
                <c:ptCount val="5"/>
                <c:pt idx="0">
                  <c:v>Maltina can</c:v>
                </c:pt>
                <c:pt idx="1">
                  <c:v>Pen Pack</c:v>
                </c:pt>
                <c:pt idx="2">
                  <c:v>Bread</c:v>
                </c:pt>
                <c:pt idx="3">
                  <c:v>Body Lotion</c:v>
                </c:pt>
                <c:pt idx="4">
                  <c:v>Boxer</c:v>
                </c:pt>
              </c:strCache>
            </c:strRef>
          </c:cat>
          <c:val>
            <c:numRef>
              <c:f>pivot!$B$32:$B$37</c:f>
              <c:numCache>
                <c:formatCode>General</c:formatCode>
                <c:ptCount val="5"/>
                <c:pt idx="0">
                  <c:v>4000</c:v>
                </c:pt>
                <c:pt idx="1">
                  <c:v>2800</c:v>
                </c:pt>
                <c:pt idx="2">
                  <c:v>2300</c:v>
                </c:pt>
                <c:pt idx="3">
                  <c:v>1680</c:v>
                </c:pt>
                <c:pt idx="4">
                  <c:v>1600</c:v>
                </c:pt>
              </c:numCache>
            </c:numRef>
          </c:val>
          <c:extLst>
            <c:ext xmlns:c16="http://schemas.microsoft.com/office/drawing/2014/chart" uri="{C3380CC4-5D6E-409C-BE32-E72D297353CC}">
              <c16:uniqueId val="{00000003-5BA3-4A62-85A0-A128D52C8892}"/>
            </c:ext>
          </c:extLst>
        </c:ser>
        <c:dLbls>
          <c:dLblPos val="outEnd"/>
          <c:showLegendKey val="0"/>
          <c:showVal val="1"/>
          <c:showCatName val="0"/>
          <c:showSerName val="0"/>
          <c:showPercent val="0"/>
          <c:showBubbleSize val="0"/>
        </c:dLbls>
        <c:gapWidth val="219"/>
        <c:overlap val="-27"/>
        <c:axId val="2102953072"/>
        <c:axId val="2103820416"/>
      </c:barChart>
      <c:catAx>
        <c:axId val="21029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820416"/>
        <c:crosses val="autoZero"/>
        <c:auto val="1"/>
        <c:lblAlgn val="ctr"/>
        <c:lblOffset val="100"/>
        <c:noMultiLvlLbl val="0"/>
      </c:catAx>
      <c:valAx>
        <c:axId val="2103820416"/>
        <c:scaling>
          <c:orientation val="minMax"/>
        </c:scaling>
        <c:delete val="1"/>
        <c:axPos val="l"/>
        <c:numFmt formatCode="General" sourceLinked="1"/>
        <c:majorTickMark val="none"/>
        <c:minorTickMark val="none"/>
        <c:tickLblPos val="nextTo"/>
        <c:crossAx val="210295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pivot!$A$50:$A$56</c:f>
              <c:strCache>
                <c:ptCount val="6"/>
                <c:pt idx="0">
                  <c:v>Drinks</c:v>
                </c:pt>
                <c:pt idx="1">
                  <c:v>Stationery</c:v>
                </c:pt>
                <c:pt idx="2">
                  <c:v>Food</c:v>
                </c:pt>
                <c:pt idx="3">
                  <c:v>Beauty</c:v>
                </c:pt>
                <c:pt idx="4">
                  <c:v>Clothes</c:v>
                </c:pt>
                <c:pt idx="5">
                  <c:v>Electronics</c:v>
                </c:pt>
              </c:strCache>
            </c:strRef>
          </c:cat>
          <c:val>
            <c:numRef>
              <c:f>pivot!$B$50:$B$56</c:f>
              <c:numCache>
                <c:formatCode>General</c:formatCode>
                <c:ptCount val="6"/>
                <c:pt idx="0">
                  <c:v>6000</c:v>
                </c:pt>
                <c:pt idx="1">
                  <c:v>2800</c:v>
                </c:pt>
                <c:pt idx="2">
                  <c:v>2300</c:v>
                </c:pt>
                <c:pt idx="3">
                  <c:v>1680</c:v>
                </c:pt>
                <c:pt idx="4">
                  <c:v>1600</c:v>
                </c:pt>
                <c:pt idx="5">
                  <c:v>1400</c:v>
                </c:pt>
              </c:numCache>
            </c:numRef>
          </c:val>
          <c:extLst>
            <c:ext xmlns:c16="http://schemas.microsoft.com/office/drawing/2014/chart" uri="{C3380CC4-5D6E-409C-BE32-E72D297353CC}">
              <c16:uniqueId val="{00000002-0945-4023-AB17-2A417F3BB740}"/>
            </c:ext>
          </c:extLst>
        </c:ser>
        <c:dLbls>
          <c:dLblPos val="outEnd"/>
          <c:showLegendKey val="0"/>
          <c:showVal val="1"/>
          <c:showCatName val="0"/>
          <c:showSerName val="0"/>
          <c:showPercent val="0"/>
          <c:showBubbleSize val="0"/>
        </c:dLbls>
        <c:gapWidth val="182"/>
        <c:axId val="2106017680"/>
        <c:axId val="2106014768"/>
      </c:barChart>
      <c:catAx>
        <c:axId val="210601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014768"/>
        <c:crosses val="autoZero"/>
        <c:auto val="1"/>
        <c:lblAlgn val="ctr"/>
        <c:lblOffset val="100"/>
        <c:noMultiLvlLbl val="0"/>
      </c:catAx>
      <c:valAx>
        <c:axId val="2106014768"/>
        <c:scaling>
          <c:orientation val="minMax"/>
        </c:scaling>
        <c:delete val="1"/>
        <c:axPos val="b"/>
        <c:numFmt formatCode="General" sourceLinked="1"/>
        <c:majorTickMark val="none"/>
        <c:minorTickMark val="none"/>
        <c:tickLblPos val="nextTo"/>
        <c:crossAx val="210601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[seeling.xlsx]Sheet4!PivotTable2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Sheet4!$B$2:$B$14</c:f>
              <c:numCache>
                <c:formatCode>General</c:formatCode>
                <c:ptCount val="12"/>
                <c:pt idx="0">
                  <c:v>900</c:v>
                </c:pt>
                <c:pt idx="1">
                  <c:v>1800</c:v>
                </c:pt>
                <c:pt idx="2">
                  <c:v>940</c:v>
                </c:pt>
                <c:pt idx="3">
                  <c:v>1440</c:v>
                </c:pt>
                <c:pt idx="4">
                  <c:v>1240</c:v>
                </c:pt>
                <c:pt idx="5">
                  <c:v>940</c:v>
                </c:pt>
                <c:pt idx="6">
                  <c:v>400</c:v>
                </c:pt>
                <c:pt idx="7">
                  <c:v>940</c:v>
                </c:pt>
                <c:pt idx="8">
                  <c:v>440</c:v>
                </c:pt>
                <c:pt idx="9">
                  <c:v>3300</c:v>
                </c:pt>
                <c:pt idx="10">
                  <c:v>2000</c:v>
                </c:pt>
                <c:pt idx="11">
                  <c:v>1440</c:v>
                </c:pt>
              </c:numCache>
            </c:numRef>
          </c:val>
          <c:smooth val="0"/>
          <c:extLst>
            <c:ext xmlns:c16="http://schemas.microsoft.com/office/drawing/2014/chart" uri="{C3380CC4-5D6E-409C-BE32-E72D297353CC}">
              <c16:uniqueId val="{00000000-4974-4EB9-B4DF-49870F9E14BB}"/>
            </c:ext>
          </c:extLst>
        </c:ser>
        <c:dLbls>
          <c:showLegendKey val="0"/>
          <c:showVal val="0"/>
          <c:showCatName val="0"/>
          <c:showSerName val="0"/>
          <c:showPercent val="0"/>
          <c:showBubbleSize val="0"/>
        </c:dLbls>
        <c:smooth val="0"/>
        <c:axId val="140532768"/>
        <c:axId val="140534016"/>
      </c:lineChart>
      <c:catAx>
        <c:axId val="1405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4016"/>
        <c:crosses val="autoZero"/>
        <c:auto val="1"/>
        <c:lblAlgn val="ctr"/>
        <c:lblOffset val="100"/>
        <c:noMultiLvlLbl val="0"/>
      </c:catAx>
      <c:valAx>
        <c:axId val="14053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3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[seeling.xlsx]pivot!PivotTable3</c:name>
    <c:fmtId val="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Top 5  Products by Sales</a:t>
            </a:r>
          </a:p>
          <a:p>
            <a:pPr>
              <a:defRPr b="1" i="1"/>
            </a:pP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94117647058823E-2"/>
          <c:y val="0.4381609195402299"/>
          <c:w val="0.93529411764705883"/>
          <c:h val="0.40706308263191238"/>
        </c:manualLayout>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pivot!$A$32:$A$37</c:f>
              <c:strCache>
                <c:ptCount val="5"/>
                <c:pt idx="0">
                  <c:v>Maltina can</c:v>
                </c:pt>
                <c:pt idx="1">
                  <c:v>Pen Pack</c:v>
                </c:pt>
                <c:pt idx="2">
                  <c:v>Bread</c:v>
                </c:pt>
                <c:pt idx="3">
                  <c:v>Body Lotion</c:v>
                </c:pt>
                <c:pt idx="4">
                  <c:v>Boxer</c:v>
                </c:pt>
              </c:strCache>
            </c:strRef>
          </c:cat>
          <c:val>
            <c:numRef>
              <c:f>pivot!$B$32:$B$37</c:f>
              <c:numCache>
                <c:formatCode>General</c:formatCode>
                <c:ptCount val="5"/>
                <c:pt idx="0">
                  <c:v>4000</c:v>
                </c:pt>
                <c:pt idx="1">
                  <c:v>2800</c:v>
                </c:pt>
                <c:pt idx="2">
                  <c:v>2300</c:v>
                </c:pt>
                <c:pt idx="3">
                  <c:v>1680</c:v>
                </c:pt>
                <c:pt idx="4">
                  <c:v>1600</c:v>
                </c:pt>
              </c:numCache>
            </c:numRef>
          </c:val>
          <c:extLst>
            <c:ext xmlns:c16="http://schemas.microsoft.com/office/drawing/2014/chart" uri="{C3380CC4-5D6E-409C-BE32-E72D297353CC}">
              <c16:uniqueId val="{00000003-70C4-44EE-AAB4-9DFE59779395}"/>
            </c:ext>
          </c:extLst>
        </c:ser>
        <c:dLbls>
          <c:dLblPos val="outEnd"/>
          <c:showLegendKey val="0"/>
          <c:showVal val="1"/>
          <c:showCatName val="0"/>
          <c:showSerName val="0"/>
          <c:showPercent val="0"/>
          <c:showBubbleSize val="0"/>
        </c:dLbls>
        <c:gapWidth val="219"/>
        <c:overlap val="-27"/>
        <c:axId val="2102953072"/>
        <c:axId val="2103820416"/>
      </c:barChart>
      <c:catAx>
        <c:axId val="210295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03820416"/>
        <c:crosses val="autoZero"/>
        <c:auto val="1"/>
        <c:lblAlgn val="ctr"/>
        <c:lblOffset val="100"/>
        <c:noMultiLvlLbl val="0"/>
      </c:catAx>
      <c:valAx>
        <c:axId val="2103820416"/>
        <c:scaling>
          <c:orientation val="minMax"/>
        </c:scaling>
        <c:delete val="1"/>
        <c:axPos val="l"/>
        <c:numFmt formatCode="General" sourceLinked="1"/>
        <c:majorTickMark val="none"/>
        <c:minorTickMark val="none"/>
        <c:tickLblPos val="nextTo"/>
        <c:crossAx val="210295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[seeling.xlsx]Sheet4!PivotTable2</c:name>
    <c:fmtId val="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Monthly</a:t>
            </a:r>
            <a:r>
              <a:rPr lang="en-US" b="1" i="1" baseline="0"/>
              <a:t> Sales</a:t>
            </a:r>
          </a:p>
          <a:p>
            <a:pPr>
              <a:defRPr b="1" i="1"/>
            </a:pP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Sheet4!$B$2:$B$14</c:f>
              <c:numCache>
                <c:formatCode>General</c:formatCode>
                <c:ptCount val="12"/>
                <c:pt idx="0">
                  <c:v>900</c:v>
                </c:pt>
                <c:pt idx="1">
                  <c:v>1800</c:v>
                </c:pt>
                <c:pt idx="2">
                  <c:v>940</c:v>
                </c:pt>
                <c:pt idx="3">
                  <c:v>1440</c:v>
                </c:pt>
                <c:pt idx="4">
                  <c:v>1240</c:v>
                </c:pt>
                <c:pt idx="5">
                  <c:v>940</c:v>
                </c:pt>
                <c:pt idx="6">
                  <c:v>400</c:v>
                </c:pt>
                <c:pt idx="7">
                  <c:v>940</c:v>
                </c:pt>
                <c:pt idx="8">
                  <c:v>440</c:v>
                </c:pt>
                <c:pt idx="9">
                  <c:v>3300</c:v>
                </c:pt>
                <c:pt idx="10">
                  <c:v>2000</c:v>
                </c:pt>
                <c:pt idx="11">
                  <c:v>1440</c:v>
                </c:pt>
              </c:numCache>
            </c:numRef>
          </c:val>
          <c:smooth val="0"/>
          <c:extLst>
            <c:ext xmlns:c16="http://schemas.microsoft.com/office/drawing/2014/chart" uri="{C3380CC4-5D6E-409C-BE32-E72D297353CC}">
              <c16:uniqueId val="{00000000-8505-4DF6-ADF9-705408F4BA71}"/>
            </c:ext>
          </c:extLst>
        </c:ser>
        <c:dLbls>
          <c:showLegendKey val="0"/>
          <c:showVal val="0"/>
          <c:showCatName val="0"/>
          <c:showSerName val="0"/>
          <c:showPercent val="0"/>
          <c:showBubbleSize val="0"/>
        </c:dLbls>
        <c:smooth val="0"/>
        <c:axId val="140532768"/>
        <c:axId val="140534016"/>
      </c:lineChart>
      <c:catAx>
        <c:axId val="14053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0534016"/>
        <c:crosses val="autoZero"/>
        <c:auto val="1"/>
        <c:lblAlgn val="ctr"/>
        <c:lblOffset val="100"/>
        <c:noMultiLvlLbl val="0"/>
      </c:catAx>
      <c:valAx>
        <c:axId val="140534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532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[seeling.xlsx]pivot!PivotTable4</c:name>
    <c:fmtId val="5"/>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US" b="1" i="1"/>
              <a:t>Sales</a:t>
            </a:r>
            <a:r>
              <a:rPr lang="en-US" b="1" i="1" baseline="0"/>
              <a:t> by Category</a:t>
            </a:r>
            <a:endParaRPr lang="en-U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pivot!$A$50:$A$56</c:f>
              <c:strCache>
                <c:ptCount val="6"/>
                <c:pt idx="0">
                  <c:v>Drinks</c:v>
                </c:pt>
                <c:pt idx="1">
                  <c:v>Stationery</c:v>
                </c:pt>
                <c:pt idx="2">
                  <c:v>Food</c:v>
                </c:pt>
                <c:pt idx="3">
                  <c:v>Beauty</c:v>
                </c:pt>
                <c:pt idx="4">
                  <c:v>Clothes</c:v>
                </c:pt>
                <c:pt idx="5">
                  <c:v>Electronics</c:v>
                </c:pt>
              </c:strCache>
            </c:strRef>
          </c:cat>
          <c:val>
            <c:numRef>
              <c:f>pivot!$B$50:$B$56</c:f>
              <c:numCache>
                <c:formatCode>General</c:formatCode>
                <c:ptCount val="6"/>
                <c:pt idx="0">
                  <c:v>6000</c:v>
                </c:pt>
                <c:pt idx="1">
                  <c:v>2800</c:v>
                </c:pt>
                <c:pt idx="2">
                  <c:v>2300</c:v>
                </c:pt>
                <c:pt idx="3">
                  <c:v>1680</c:v>
                </c:pt>
                <c:pt idx="4">
                  <c:v>1600</c:v>
                </c:pt>
                <c:pt idx="5">
                  <c:v>1400</c:v>
                </c:pt>
              </c:numCache>
            </c:numRef>
          </c:val>
          <c:extLst>
            <c:ext xmlns:c16="http://schemas.microsoft.com/office/drawing/2014/chart" uri="{C3380CC4-5D6E-409C-BE32-E72D297353CC}">
              <c16:uniqueId val="{00000002-C434-484D-ACB6-B2FB97BF569E}"/>
            </c:ext>
          </c:extLst>
        </c:ser>
        <c:dLbls>
          <c:dLblPos val="outEnd"/>
          <c:showLegendKey val="0"/>
          <c:showVal val="1"/>
          <c:showCatName val="0"/>
          <c:showSerName val="0"/>
          <c:showPercent val="0"/>
          <c:showBubbleSize val="0"/>
        </c:dLbls>
        <c:gapWidth val="182"/>
        <c:axId val="2106017680"/>
        <c:axId val="2106014768"/>
      </c:barChart>
      <c:catAx>
        <c:axId val="210601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6014768"/>
        <c:crosses val="autoZero"/>
        <c:auto val="1"/>
        <c:lblAlgn val="ctr"/>
        <c:lblOffset val="100"/>
        <c:noMultiLvlLbl val="0"/>
      </c:catAx>
      <c:valAx>
        <c:axId val="2106014768"/>
        <c:scaling>
          <c:orientation val="minMax"/>
        </c:scaling>
        <c:delete val="1"/>
        <c:axPos val="b"/>
        <c:numFmt formatCode="General" sourceLinked="1"/>
        <c:majorTickMark val="none"/>
        <c:minorTickMark val="none"/>
        <c:tickLblPos val="nextTo"/>
        <c:crossAx val="2106017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304800</xdr:colOff>
      <xdr:row>28</xdr:row>
      <xdr:rowOff>95250</xdr:rowOff>
    </xdr:from>
    <xdr:to>
      <xdr:col>10</xdr:col>
      <xdr:colOff>0</xdr:colOff>
      <xdr:row>43</xdr:row>
      <xdr:rowOff>76200</xdr:rowOff>
    </xdr:to>
    <xdr:graphicFrame macro="">
      <xdr:nvGraphicFramePr>
        <xdr:cNvPr id="3" name="Chart 2">
          <a:extLst>
            <a:ext uri="{FF2B5EF4-FFF2-40B4-BE49-F238E27FC236}">
              <a16:creationId xmlns:a16="http://schemas.microsoft.com/office/drawing/2014/main" id="{4C6A7C36-E500-4483-9647-0FFAA611B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45</xdr:row>
      <xdr:rowOff>0</xdr:rowOff>
    </xdr:from>
    <xdr:to>
      <xdr:col>10</xdr:col>
      <xdr:colOff>304800</xdr:colOff>
      <xdr:row>59</xdr:row>
      <xdr:rowOff>165100</xdr:rowOff>
    </xdr:to>
    <xdr:graphicFrame macro="">
      <xdr:nvGraphicFramePr>
        <xdr:cNvPr id="4" name="Chart 3">
          <a:extLst>
            <a:ext uri="{FF2B5EF4-FFF2-40B4-BE49-F238E27FC236}">
              <a16:creationId xmlns:a16="http://schemas.microsoft.com/office/drawing/2014/main" id="{23A35B57-3088-47D2-B5CD-6EAB86E73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203200</xdr:colOff>
      <xdr:row>2</xdr:row>
      <xdr:rowOff>0</xdr:rowOff>
    </xdr:from>
    <xdr:to>
      <xdr:col>10</xdr:col>
      <xdr:colOff>508000</xdr:colOff>
      <xdr:row>16</xdr:row>
      <xdr:rowOff>165100</xdr:rowOff>
    </xdr:to>
    <xdr:graphicFrame macro="">
      <xdr:nvGraphicFramePr>
        <xdr:cNvPr id="2" name="Chart 1">
          <a:extLst>
            <a:ext uri="{FF2B5EF4-FFF2-40B4-BE49-F238E27FC236}">
              <a16:creationId xmlns:a16="http://schemas.microsoft.com/office/drawing/2014/main" id="{55C879A0-9EC6-483C-B21F-8B4B8FE6B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425450</xdr:colOff>
      <xdr:row>3</xdr:row>
      <xdr:rowOff>88900</xdr:rowOff>
    </xdr:from>
    <xdr:to>
      <xdr:col>6</xdr:col>
      <xdr:colOff>425450</xdr:colOff>
      <xdr:row>17</xdr:row>
      <xdr:rowOff>34925</xdr:rowOff>
    </xdr:to>
    <mc:AlternateContent xmlns:mc="http://schemas.openxmlformats.org/markup-compatibility/2006" xmlns:a14="http://schemas.microsoft.com/office/drawing/2010/main">
      <mc:Choice Requires="a14">
        <xdr:graphicFrame macro="">
          <xdr:nvGraphicFramePr>
            <xdr:cNvPr id="4" name=" Date   ">
              <a:extLst>
                <a:ext uri="{FF2B5EF4-FFF2-40B4-BE49-F238E27FC236}">
                  <a16:creationId xmlns:a16="http://schemas.microsoft.com/office/drawing/2014/main" id="{35AF4A4A-6CDC-4AAB-8403-F4850E625FEF}"/>
                </a:ext>
              </a:extLst>
            </xdr:cNvPr>
            <xdr:cNvGraphicFramePr/>
          </xdr:nvGraphicFramePr>
          <xdr:xfrm>
            <a:off x="0" y="0"/>
            <a:ext cx="0" cy="0"/>
          </xdr:xfrm>
          <a:graphic>
            <a:graphicData uri="http://schemas.microsoft.com/office/drawing/2010/slicer">
              <sle:slicer xmlns:sle="http://schemas.microsoft.com/office/drawing/2010/slicer" name=" Date   "/>
            </a:graphicData>
          </a:graphic>
        </xdr:graphicFrame>
      </mc:Choice>
      <mc:Fallback xmlns="">
        <xdr:sp macro="" textlink="">
          <xdr:nvSpPr>
            <xdr:cNvPr id="0" name=""/>
            <xdr:cNvSpPr>
              <a:spLocks noTextEdit="1"/>
            </xdr:cNvSpPr>
          </xdr:nvSpPr>
          <xdr:spPr>
            <a:xfrm>
              <a:off x="3416300" y="641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152399</xdr:colOff>
      <xdr:row>0</xdr:row>
      <xdr:rowOff>0</xdr:rowOff>
    </xdr:from>
    <xdr:to>
      <xdr:col>21</xdr:col>
      <xdr:colOff>0</xdr:colOff>
      <xdr:row>3</xdr:row>
      <xdr:rowOff>82550</xdr:rowOff>
    </xdr:to>
    <xdr:sp macro="" textlink="">
      <xdr:nvSpPr>
        <xdr:cNvPr id="3" name="Rectangle: Rounded Corners 2">
          <a:extLst>
            <a:ext uri="{FF2B5EF4-FFF2-40B4-BE49-F238E27FC236}">
              <a16:creationId xmlns:a16="http://schemas.microsoft.com/office/drawing/2014/main" id="{70D8C18A-2F1B-4129-BAA9-AE015967ECC7}"/>
            </a:ext>
          </a:extLst>
        </xdr:cNvPr>
        <xdr:cNvSpPr/>
      </xdr:nvSpPr>
      <xdr:spPr>
        <a:xfrm>
          <a:off x="152399" y="0"/>
          <a:ext cx="13168490" cy="63288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3</xdr:row>
      <xdr:rowOff>165100</xdr:rowOff>
    </xdr:from>
    <xdr:to>
      <xdr:col>3</xdr:col>
      <xdr:colOff>933450</xdr:colOff>
      <xdr:row>7</xdr:row>
      <xdr:rowOff>120650</xdr:rowOff>
    </xdr:to>
    <xdr:sp macro="" textlink="Metrics!C2">
      <xdr:nvSpPr>
        <xdr:cNvPr id="5" name="Rectangle: Rounded Corners 4">
          <a:extLst>
            <a:ext uri="{FF2B5EF4-FFF2-40B4-BE49-F238E27FC236}">
              <a16:creationId xmlns:a16="http://schemas.microsoft.com/office/drawing/2014/main" id="{D6770CA7-CFA4-442C-A3F4-F379CA82C6DB}"/>
            </a:ext>
          </a:extLst>
        </xdr:cNvPr>
        <xdr:cNvSpPr/>
      </xdr:nvSpPr>
      <xdr:spPr>
        <a:xfrm>
          <a:off x="1219200" y="717550"/>
          <a:ext cx="1543050" cy="692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a:t>🟢</a:t>
          </a:r>
          <a:endParaRPr lang="en-US" sz="1000" b="1" i="0" u="none" strike="noStrike">
            <a:solidFill>
              <a:srgbClr val="000000"/>
            </a:solidFill>
            <a:latin typeface="Arial Unicode MS"/>
          </a:endParaRPr>
        </a:p>
        <a:p>
          <a:pPr algn="ctr"/>
          <a:r>
            <a:rPr lang="en-US" sz="1000" b="1" i="0" u="none" strike="noStrike">
              <a:solidFill>
                <a:srgbClr val="000000"/>
              </a:solidFill>
              <a:latin typeface="Arial Unicode MS"/>
            </a:rPr>
            <a:t>Total</a:t>
          </a:r>
          <a:r>
            <a:rPr lang="en-US" sz="1000" b="1" i="0" u="none" strike="noStrike" baseline="0">
              <a:solidFill>
                <a:srgbClr val="000000"/>
              </a:solidFill>
              <a:latin typeface="Arial Unicode MS"/>
            </a:rPr>
            <a:t> Sales</a:t>
          </a:r>
          <a:endParaRPr lang="en-US" sz="1000" b="1" i="0" u="none" strike="noStrike">
            <a:solidFill>
              <a:srgbClr val="000000"/>
            </a:solidFill>
            <a:latin typeface="Arial Unicode MS"/>
          </a:endParaRPr>
        </a:p>
        <a:p>
          <a:pPr algn="ctr"/>
          <a:fld id="{3011396C-A4D2-4B04-9856-BDF27D4B8F41}" type="TxLink">
            <a:rPr lang="en-US" sz="1000" b="1" i="0" u="none" strike="noStrike">
              <a:solidFill>
                <a:srgbClr val="000000"/>
              </a:solidFill>
              <a:latin typeface="Arial Unicode MS"/>
            </a:rPr>
            <a:pPr algn="ctr"/>
            <a:t>₦139,860.00</a:t>
          </a:fld>
          <a:endParaRPr lang="en-US" sz="1100" b="1"/>
        </a:p>
      </xdr:txBody>
    </xdr:sp>
    <xdr:clientData/>
  </xdr:twoCellAnchor>
  <xdr:twoCellAnchor>
    <xdr:from>
      <xdr:col>4</xdr:col>
      <xdr:colOff>247650</xdr:colOff>
      <xdr:row>4</xdr:row>
      <xdr:rowOff>0</xdr:rowOff>
    </xdr:from>
    <xdr:to>
      <xdr:col>6</xdr:col>
      <xdr:colOff>571500</xdr:colOff>
      <xdr:row>7</xdr:row>
      <xdr:rowOff>139700</xdr:rowOff>
    </xdr:to>
    <xdr:sp macro="" textlink="Metrics!C3">
      <xdr:nvSpPr>
        <xdr:cNvPr id="6" name="Rectangle: Rounded Corners 5">
          <a:extLst>
            <a:ext uri="{FF2B5EF4-FFF2-40B4-BE49-F238E27FC236}">
              <a16:creationId xmlns:a16="http://schemas.microsoft.com/office/drawing/2014/main" id="{C12791CA-81A6-408F-AB0E-DA2D35CBB1CF}"/>
            </a:ext>
          </a:extLst>
        </xdr:cNvPr>
        <xdr:cNvSpPr/>
      </xdr:nvSpPr>
      <xdr:spPr>
        <a:xfrm>
          <a:off x="3263900" y="736600"/>
          <a:ext cx="1543050" cy="692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a:t>🔵</a:t>
          </a:r>
          <a:endParaRPr lang="en-US" sz="1000" b="1" i="0" u="none" strike="noStrike">
            <a:solidFill>
              <a:srgbClr val="000000"/>
            </a:solidFill>
            <a:latin typeface="Arial Unicode MS"/>
          </a:endParaRPr>
        </a:p>
        <a:p>
          <a:pPr algn="ctr"/>
          <a:r>
            <a:rPr lang="en-US" sz="1000" b="1" i="0" u="none" strike="noStrike">
              <a:solidFill>
                <a:srgbClr val="000000"/>
              </a:solidFill>
              <a:latin typeface="Arial Unicode MS"/>
            </a:rPr>
            <a:t>Total</a:t>
          </a:r>
          <a:r>
            <a:rPr lang="en-US" sz="1000" b="1" i="0" u="none" strike="noStrike" baseline="0">
              <a:solidFill>
                <a:srgbClr val="000000"/>
              </a:solidFill>
              <a:latin typeface="Arial Unicode MS"/>
            </a:rPr>
            <a:t> Cost</a:t>
          </a:r>
          <a:endParaRPr lang="en-US" sz="1000" b="1" i="0" u="none" strike="noStrike">
            <a:solidFill>
              <a:srgbClr val="000000"/>
            </a:solidFill>
            <a:latin typeface="Arial Unicode MS"/>
          </a:endParaRPr>
        </a:p>
        <a:p>
          <a:pPr algn="ctr"/>
          <a:fld id="{4CFB349E-AD46-40C3-AAC3-6B9271212A8A}" type="TxLink">
            <a:rPr lang="en-US" sz="1000" b="1" i="0" u="none" strike="noStrike">
              <a:solidFill>
                <a:srgbClr val="000000"/>
              </a:solidFill>
              <a:latin typeface="Arial Unicode MS"/>
            </a:rPr>
            <a:pPr algn="ctr"/>
            <a:t>₦94,820.00</a:t>
          </a:fld>
          <a:endParaRPr lang="en-US" sz="1100" b="1"/>
        </a:p>
      </xdr:txBody>
    </xdr:sp>
    <xdr:clientData/>
  </xdr:twoCellAnchor>
  <xdr:twoCellAnchor>
    <xdr:from>
      <xdr:col>7</xdr:col>
      <xdr:colOff>463550</xdr:colOff>
      <xdr:row>4</xdr:row>
      <xdr:rowOff>0</xdr:rowOff>
    </xdr:from>
    <xdr:to>
      <xdr:col>10</xdr:col>
      <xdr:colOff>177800</xdr:colOff>
      <xdr:row>7</xdr:row>
      <xdr:rowOff>139700</xdr:rowOff>
    </xdr:to>
    <xdr:sp macro="" textlink="Metrics!C4">
      <xdr:nvSpPr>
        <xdr:cNvPr id="7" name="Rectangle: Rounded Corners 6">
          <a:extLst>
            <a:ext uri="{FF2B5EF4-FFF2-40B4-BE49-F238E27FC236}">
              <a16:creationId xmlns:a16="http://schemas.microsoft.com/office/drawing/2014/main" id="{EA61DA15-6C31-4673-82FB-95B744FCA52D}"/>
            </a:ext>
          </a:extLst>
        </xdr:cNvPr>
        <xdr:cNvSpPr/>
      </xdr:nvSpPr>
      <xdr:spPr>
        <a:xfrm>
          <a:off x="5308600" y="736600"/>
          <a:ext cx="1543050" cy="692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a:t>🟠</a:t>
          </a:r>
          <a:endParaRPr lang="en-US" sz="1000" b="1" i="0" u="none" strike="noStrike">
            <a:solidFill>
              <a:srgbClr val="000000"/>
            </a:solidFill>
            <a:latin typeface="Arial Unicode MS"/>
          </a:endParaRPr>
        </a:p>
        <a:p>
          <a:pPr algn="ctr"/>
          <a:r>
            <a:rPr lang="en-US" sz="1000" b="1" i="0" u="none" strike="noStrike">
              <a:solidFill>
                <a:srgbClr val="000000"/>
              </a:solidFill>
              <a:latin typeface="Arial Unicode MS"/>
            </a:rPr>
            <a:t>Total</a:t>
          </a:r>
          <a:r>
            <a:rPr lang="en-US" sz="1000" b="1" i="0" u="none" strike="noStrike" baseline="0">
              <a:solidFill>
                <a:srgbClr val="000000"/>
              </a:solidFill>
              <a:latin typeface="Arial Unicode MS"/>
            </a:rPr>
            <a:t> Profit</a:t>
          </a:r>
          <a:endParaRPr lang="en-US" sz="1000" b="1" i="0" u="none" strike="noStrike">
            <a:solidFill>
              <a:srgbClr val="000000"/>
            </a:solidFill>
            <a:latin typeface="Arial Unicode MS"/>
          </a:endParaRPr>
        </a:p>
        <a:p>
          <a:pPr algn="ctr"/>
          <a:fld id="{E5D0474A-A6B3-452F-B2BE-78D66E9025F9}" type="TxLink">
            <a:rPr lang="en-US" sz="1000" b="1" i="0" u="none" strike="noStrike">
              <a:solidFill>
                <a:srgbClr val="000000"/>
              </a:solidFill>
              <a:latin typeface="Arial Unicode MS"/>
            </a:rPr>
            <a:pPr algn="ctr"/>
            <a:t>₦45,040.00</a:t>
          </a:fld>
          <a:endParaRPr lang="en-US" sz="1100" b="1"/>
        </a:p>
      </xdr:txBody>
    </xdr:sp>
    <xdr:clientData/>
  </xdr:twoCellAnchor>
  <xdr:twoCellAnchor>
    <xdr:from>
      <xdr:col>11</xdr:col>
      <xdr:colOff>69850</xdr:colOff>
      <xdr:row>4</xdr:row>
      <xdr:rowOff>0</xdr:rowOff>
    </xdr:from>
    <xdr:to>
      <xdr:col>13</xdr:col>
      <xdr:colOff>393700</xdr:colOff>
      <xdr:row>7</xdr:row>
      <xdr:rowOff>139700</xdr:rowOff>
    </xdr:to>
    <xdr:sp macro="" textlink="Metrics!C5">
      <xdr:nvSpPr>
        <xdr:cNvPr id="8" name="Rectangle: Rounded Corners 7">
          <a:extLst>
            <a:ext uri="{FF2B5EF4-FFF2-40B4-BE49-F238E27FC236}">
              <a16:creationId xmlns:a16="http://schemas.microsoft.com/office/drawing/2014/main" id="{4DDA94A1-E1CE-4638-BCFB-8DBDB5834723}"/>
            </a:ext>
          </a:extLst>
        </xdr:cNvPr>
        <xdr:cNvSpPr/>
      </xdr:nvSpPr>
      <xdr:spPr>
        <a:xfrm>
          <a:off x="7353300" y="736600"/>
          <a:ext cx="1543050" cy="692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a:t>🔴</a:t>
          </a:r>
          <a:endParaRPr lang="en-US" sz="1000" b="1" i="0" u="none" strike="noStrike">
            <a:solidFill>
              <a:srgbClr val="000000"/>
            </a:solidFill>
            <a:latin typeface="Arial Unicode MS"/>
          </a:endParaRPr>
        </a:p>
        <a:p>
          <a:pPr algn="ctr"/>
          <a:r>
            <a:rPr lang="en-US" sz="1000" b="1" i="0" u="none" strike="noStrike">
              <a:solidFill>
                <a:srgbClr val="000000"/>
              </a:solidFill>
              <a:latin typeface="Arial Unicode MS"/>
            </a:rPr>
            <a:t>Total Expenses</a:t>
          </a:r>
        </a:p>
        <a:p>
          <a:pPr algn="ctr"/>
          <a:fld id="{890282FA-3C89-4506-B284-5C14B757CEBB}" type="TxLink">
            <a:rPr lang="en-US" sz="1000" b="1" i="0" u="none" strike="noStrike">
              <a:solidFill>
                <a:srgbClr val="000000"/>
              </a:solidFill>
              <a:latin typeface="Arial Unicode MS"/>
            </a:rPr>
            <a:pPr algn="ctr"/>
            <a:t>₦11,423.00</a:t>
          </a:fld>
          <a:endParaRPr lang="en-US" sz="1100" b="1"/>
        </a:p>
      </xdr:txBody>
    </xdr:sp>
    <xdr:clientData/>
  </xdr:twoCellAnchor>
  <xdr:twoCellAnchor>
    <xdr:from>
      <xdr:col>14</xdr:col>
      <xdr:colOff>285750</xdr:colOff>
      <xdr:row>4</xdr:row>
      <xdr:rowOff>0</xdr:rowOff>
    </xdr:from>
    <xdr:to>
      <xdr:col>17</xdr:col>
      <xdr:colOff>0</xdr:colOff>
      <xdr:row>7</xdr:row>
      <xdr:rowOff>139700</xdr:rowOff>
    </xdr:to>
    <xdr:sp macro="" textlink="Metrics!C6">
      <xdr:nvSpPr>
        <xdr:cNvPr id="9" name="Rectangle: Rounded Corners 8">
          <a:extLst>
            <a:ext uri="{FF2B5EF4-FFF2-40B4-BE49-F238E27FC236}">
              <a16:creationId xmlns:a16="http://schemas.microsoft.com/office/drawing/2014/main" id="{C470114B-8BB0-435C-B167-7C44AF9073AD}"/>
            </a:ext>
          </a:extLst>
        </xdr:cNvPr>
        <xdr:cNvSpPr/>
      </xdr:nvSpPr>
      <xdr:spPr>
        <a:xfrm>
          <a:off x="9398000" y="736600"/>
          <a:ext cx="1543050" cy="692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a:t>🟣</a:t>
          </a:r>
          <a:endParaRPr lang="en-US" sz="1000" b="1" i="0" u="none" strike="noStrike">
            <a:solidFill>
              <a:srgbClr val="000000"/>
            </a:solidFill>
            <a:latin typeface="Arial Unicode MS"/>
          </a:endParaRPr>
        </a:p>
        <a:p>
          <a:pPr algn="ctr"/>
          <a:r>
            <a:rPr lang="en-US" sz="1000" b="1" i="0" u="none" strike="noStrike">
              <a:solidFill>
                <a:srgbClr val="000000"/>
              </a:solidFill>
              <a:latin typeface="Arial Unicode MS"/>
            </a:rPr>
            <a:t>Net Profit</a:t>
          </a:r>
        </a:p>
        <a:p>
          <a:pPr algn="ctr"/>
          <a:fld id="{333216F3-111E-4863-81B3-5CD52AC0DB61}" type="TxLink">
            <a:rPr lang="en-US" sz="1000" b="1" i="0" u="none" strike="noStrike">
              <a:solidFill>
                <a:srgbClr val="000000"/>
              </a:solidFill>
              <a:latin typeface="Arial Unicode MS"/>
            </a:rPr>
            <a:pPr algn="ctr"/>
            <a:t>₦33,617.00</a:t>
          </a:fld>
          <a:endParaRPr lang="en-US" sz="1100" b="1"/>
        </a:p>
      </xdr:txBody>
    </xdr:sp>
    <xdr:clientData/>
  </xdr:twoCellAnchor>
  <xdr:twoCellAnchor>
    <xdr:from>
      <xdr:col>0</xdr:col>
      <xdr:colOff>400050</xdr:colOff>
      <xdr:row>8</xdr:row>
      <xdr:rowOff>0</xdr:rowOff>
    </xdr:from>
    <xdr:to>
      <xdr:col>6</xdr:col>
      <xdr:colOff>303389</xdr:colOff>
      <xdr:row>18</xdr:row>
      <xdr:rowOff>0</xdr:rowOff>
    </xdr:to>
    <xdr:graphicFrame macro="">
      <xdr:nvGraphicFramePr>
        <xdr:cNvPr id="11" name="Chart 10">
          <a:extLst>
            <a:ext uri="{FF2B5EF4-FFF2-40B4-BE49-F238E27FC236}">
              <a16:creationId xmlns:a16="http://schemas.microsoft.com/office/drawing/2014/main" id="{F7A45393-3FE4-4DD1-868B-3B644B561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359834</xdr:colOff>
      <xdr:row>8</xdr:row>
      <xdr:rowOff>1</xdr:rowOff>
    </xdr:from>
    <xdr:to>
      <xdr:col>14</xdr:col>
      <xdr:colOff>0</xdr:colOff>
      <xdr:row>18</xdr:row>
      <xdr:rowOff>1</xdr:rowOff>
    </xdr:to>
    <xdr:graphicFrame macro="">
      <xdr:nvGraphicFramePr>
        <xdr:cNvPr id="12" name="Chart 11">
          <a:extLst>
            <a:ext uri="{FF2B5EF4-FFF2-40B4-BE49-F238E27FC236}">
              <a16:creationId xmlns:a16="http://schemas.microsoft.com/office/drawing/2014/main" id="{F98DB695-5799-4A22-9979-09A285819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8</xdr:row>
      <xdr:rowOff>0</xdr:rowOff>
    </xdr:from>
    <xdr:to>
      <xdr:col>21</xdr:col>
      <xdr:colOff>0</xdr:colOff>
      <xdr:row>18</xdr:row>
      <xdr:rowOff>0</xdr:rowOff>
    </xdr:to>
    <xdr:graphicFrame macro="">
      <xdr:nvGraphicFramePr>
        <xdr:cNvPr id="13" name="Chart 12">
          <a:extLst>
            <a:ext uri="{FF2B5EF4-FFF2-40B4-BE49-F238E27FC236}">
              <a16:creationId xmlns:a16="http://schemas.microsoft.com/office/drawing/2014/main" id="{835C2047-6AC4-4E49-8D25-83D6E11A2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3.656063425929" createdVersion="7" refreshedVersion="7" minRefreshableVersion="3" recordCount="26" xr:uid="{906F205E-005D-44FC-AC14-2BCE27A54115}">
  <cacheSource type="worksheet">
    <worksheetSource name="Table1"/>
  </cacheSource>
  <cacheFields count="10">
    <cacheField name=" Date   " numFmtId="14">
      <sharedItems containsSemiMixedTypes="0" containsNonDate="0" containsDate="1" containsString="0" minDate="2020-04-03T00:00:00" maxDate="2022-04-04T00:00:00" count="25">
        <d v="2020-04-03T00:00:00"/>
        <d v="2020-05-03T00:00:00"/>
        <d v="2020-06-03T00:00:00"/>
        <d v="2020-07-03T00:00:00"/>
        <d v="2020-08-03T00:00:00"/>
        <d v="2020-09-03T00:00:00"/>
        <d v="2020-10-03T00:00:00"/>
        <d v="2020-11-03T00:00:00"/>
        <d v="2020-12-03T00:00:00"/>
        <d v="2021-01-03T00:00:00"/>
        <d v="2021-02-03T00:00:00"/>
        <d v="2021-03-03T00:00:00"/>
        <d v="2021-04-03T00:00:00"/>
        <d v="2021-05-03T00:00:00"/>
        <d v="2021-06-03T00:00:00"/>
        <d v="2021-07-03T00:00:00"/>
        <d v="2021-08-03T00:00:00"/>
        <d v="2021-09-03T00:00:00"/>
        <d v="2021-10-03T00:00:00"/>
        <d v="2021-11-03T00:00:00"/>
        <d v="2021-12-03T00:00:00"/>
        <d v="2022-01-03T00:00:00"/>
        <d v="2022-02-03T00:00:00"/>
        <d v="2022-03-03T00:00:00"/>
        <d v="2022-04-03T00:00:00"/>
      </sharedItems>
      <fieldGroup par="9" base="0">
        <rangePr groupBy="months" startDate="2020-04-03T00:00:00" endDate="2022-04-04T00:00:00"/>
        <groupItems count="14">
          <s v="&lt;4/3/2020"/>
          <s v="Jan"/>
          <s v="Feb"/>
          <s v="Mar"/>
          <s v="Apr"/>
          <s v="May"/>
          <s v="Jun"/>
          <s v="Jul"/>
          <s v="Aug"/>
          <s v="Sep"/>
          <s v="Oct"/>
          <s v="Nov"/>
          <s v="Dec"/>
          <s v="&gt;4/4/2022"/>
        </groupItems>
      </fieldGroup>
    </cacheField>
    <cacheField name="Product Name" numFmtId="0">
      <sharedItems count="8">
        <s v="Body Lotion"/>
        <s v="Earphone"/>
        <s v="Coca cola"/>
        <s v="Maltina can"/>
        <s v="Pen Pack"/>
        <s v="Boxer"/>
        <s v="Bottle water 50Cl"/>
        <s v="Bread"/>
      </sharedItems>
    </cacheField>
    <cacheField name="Category " numFmtId="0">
      <sharedItems count="6">
        <s v="Beauty"/>
        <s v="Electronics"/>
        <s v="Drinks"/>
        <s v="Stationery"/>
        <s v="Clothes"/>
        <s v="Food"/>
      </sharedItems>
    </cacheField>
    <cacheField name=" Qty Sold" numFmtId="0">
      <sharedItems containsSemiMixedTypes="0" containsString="0" containsNumber="1" containsInteger="1" minValue="2" maxValue="30"/>
    </cacheField>
    <cacheField name="Cost Price (₦)" numFmtId="0">
      <sharedItems containsSemiMixedTypes="0" containsString="0" containsNumber="1" containsInteger="1" minValue="120" maxValue="1300"/>
    </cacheField>
    <cacheField name="Selling Price (₦)" numFmtId="0">
      <sharedItems containsSemiMixedTypes="0" containsString="0" containsNumber="1" containsInteger="1" minValue="200" maxValue="2300"/>
    </cacheField>
    <cacheField name="Profit per Unit  " numFmtId="0">
      <sharedItems containsSemiMixedTypes="0" containsString="0" containsNumber="1" containsInteger="1" minValue="20" maxValue="1300"/>
    </cacheField>
    <cacheField name="Total Profit (₦)" numFmtId="0">
      <sharedItems containsSemiMixedTypes="0" containsString="0" containsNumber="1" containsInteger="1" minValue="40" maxValue="11700"/>
    </cacheField>
    <cacheField name="Payment Mode      " numFmtId="0">
      <sharedItems/>
    </cacheField>
    <cacheField name="Years" numFmtId="0" databaseField="0">
      <fieldGroup base="0">
        <rangePr groupBy="years" startDate="2020-04-03T00:00:00" endDate="2022-04-04T00:00:00"/>
        <groupItems count="5">
          <s v="&lt;4/3/2020"/>
          <s v="2020"/>
          <s v="2021"/>
          <s v="2022"/>
          <s v="&gt;4/4/2022"/>
        </groupItems>
      </fieldGroup>
    </cacheField>
  </cacheFields>
  <extLst>
    <ext xmlns:x14="http://schemas.microsoft.com/office/spreadsheetml/2009/9/main" uri="{725AE2AE-9491-48be-B2B4-4EB974FC3084}">
      <x14:pivotCacheDefinition pivotCacheId="853893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x v="0"/>
    <n v="5"/>
    <n v="120"/>
    <n v="240"/>
    <n v="120"/>
    <n v="600"/>
    <s v="Transfer"/>
  </r>
  <r>
    <x v="1"/>
    <x v="0"/>
    <x v="0"/>
    <n v="6"/>
    <n v="120"/>
    <n v="240"/>
    <n v="120"/>
    <n v="720"/>
    <s v="POS"/>
  </r>
  <r>
    <x v="2"/>
    <x v="0"/>
    <x v="0"/>
    <n v="5"/>
    <n v="120"/>
    <n v="240"/>
    <n v="120"/>
    <n v="600"/>
    <s v="Cash"/>
  </r>
  <r>
    <x v="3"/>
    <x v="1"/>
    <x v="1"/>
    <n v="2"/>
    <n v="180"/>
    <n v="200"/>
    <n v="20"/>
    <n v="40"/>
    <s v="POS"/>
  </r>
  <r>
    <x v="4"/>
    <x v="0"/>
    <x v="0"/>
    <n v="2"/>
    <n v="120"/>
    <n v="240"/>
    <n v="120"/>
    <n v="240"/>
    <s v="Transfer"/>
  </r>
  <r>
    <x v="5"/>
    <x v="0"/>
    <x v="0"/>
    <n v="4"/>
    <n v="120"/>
    <n v="240"/>
    <n v="120"/>
    <n v="480"/>
    <s v="Others"/>
  </r>
  <r>
    <x v="6"/>
    <x v="2"/>
    <x v="2"/>
    <n v="9"/>
    <n v="900"/>
    <n v="1000"/>
    <n v="100"/>
    <n v="900"/>
    <s v="Transfer"/>
  </r>
  <r>
    <x v="7"/>
    <x v="3"/>
    <x v="2"/>
    <n v="10"/>
    <n v="700"/>
    <n v="1000"/>
    <n v="300"/>
    <n v="3000"/>
    <s v="POS"/>
  </r>
  <r>
    <x v="8"/>
    <x v="0"/>
    <x v="0"/>
    <n v="2"/>
    <n v="120"/>
    <n v="240"/>
    <n v="120"/>
    <n v="240"/>
    <s v="Transfer"/>
  </r>
  <r>
    <x v="8"/>
    <x v="1"/>
    <x v="1"/>
    <n v="3"/>
    <n v="180"/>
    <n v="200"/>
    <n v="20"/>
    <n v="60"/>
    <s v="Transfer"/>
  </r>
  <r>
    <x v="9"/>
    <x v="4"/>
    <x v="3"/>
    <n v="5"/>
    <n v="500"/>
    <n v="700"/>
    <n v="200"/>
    <n v="1000"/>
    <s v="Transfer"/>
  </r>
  <r>
    <x v="10"/>
    <x v="5"/>
    <x v="4"/>
    <n v="5"/>
    <n v="1300"/>
    <n v="1600"/>
    <n v="300"/>
    <n v="1500"/>
    <s v="Transfer"/>
  </r>
  <r>
    <x v="11"/>
    <x v="4"/>
    <x v="3"/>
    <n v="5"/>
    <n v="500"/>
    <n v="700"/>
    <n v="200"/>
    <n v="1000"/>
    <s v="Transfer"/>
  </r>
  <r>
    <x v="12"/>
    <x v="3"/>
    <x v="2"/>
    <n v="30"/>
    <n v="700"/>
    <n v="1000"/>
    <n v="300"/>
    <n v="9000"/>
    <s v="Transfer"/>
  </r>
  <r>
    <x v="13"/>
    <x v="6"/>
    <x v="2"/>
    <n v="5"/>
    <n v="700"/>
    <n v="1000"/>
    <n v="300"/>
    <n v="1500"/>
    <s v="Transfer"/>
  </r>
  <r>
    <x v="14"/>
    <x v="4"/>
    <x v="3"/>
    <n v="6"/>
    <n v="500"/>
    <n v="700"/>
    <n v="200"/>
    <n v="1200"/>
    <s v="POS"/>
  </r>
  <r>
    <x v="15"/>
    <x v="1"/>
    <x v="1"/>
    <n v="6"/>
    <n v="180"/>
    <n v="200"/>
    <n v="20"/>
    <n v="120"/>
    <s v="Transfer"/>
  </r>
  <r>
    <x v="16"/>
    <x v="4"/>
    <x v="3"/>
    <n v="6"/>
    <n v="500"/>
    <n v="700"/>
    <n v="200"/>
    <n v="1200"/>
    <s v="POS"/>
  </r>
  <r>
    <x v="17"/>
    <x v="1"/>
    <x v="1"/>
    <n v="6"/>
    <n v="180"/>
    <n v="200"/>
    <n v="20"/>
    <n v="120"/>
    <s v="Transfer"/>
  </r>
  <r>
    <x v="18"/>
    <x v="7"/>
    <x v="5"/>
    <n v="9"/>
    <n v="1000"/>
    <n v="2300"/>
    <n v="1300"/>
    <n v="11700"/>
    <s v="Others"/>
  </r>
  <r>
    <x v="19"/>
    <x v="3"/>
    <x v="2"/>
    <n v="20"/>
    <n v="700"/>
    <n v="1000"/>
    <n v="300"/>
    <n v="6000"/>
    <s v="Transfer"/>
  </r>
  <r>
    <x v="20"/>
    <x v="3"/>
    <x v="2"/>
    <n v="8"/>
    <n v="700"/>
    <n v="1000"/>
    <n v="300"/>
    <n v="2400"/>
    <s v="POS"/>
  </r>
  <r>
    <x v="21"/>
    <x v="1"/>
    <x v="1"/>
    <n v="3"/>
    <n v="180"/>
    <n v="200"/>
    <n v="20"/>
    <n v="60"/>
    <s v="Transfer"/>
  </r>
  <r>
    <x v="22"/>
    <x v="1"/>
    <x v="1"/>
    <n v="4"/>
    <n v="180"/>
    <n v="200"/>
    <n v="20"/>
    <n v="80"/>
    <s v="Transfer"/>
  </r>
  <r>
    <x v="23"/>
    <x v="0"/>
    <x v="0"/>
    <n v="10"/>
    <n v="120"/>
    <n v="240"/>
    <n v="120"/>
    <n v="1200"/>
    <s v="POS"/>
  </r>
  <r>
    <x v="24"/>
    <x v="1"/>
    <x v="1"/>
    <n v="4"/>
    <n v="180"/>
    <n v="200"/>
    <n v="20"/>
    <n v="80"/>
    <s v="PO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0D9671-7B76-4518-A29A-F58BE7DC2809}"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ategory">
  <location ref="A49:B56" firstHeaderRow="1" firstDataRow="1" firstDataCol="1"/>
  <pivotFields count="10">
    <pivotField numFmtId="14" showAll="0">
      <items count="15">
        <item x="0"/>
        <item x="1"/>
        <item x="2"/>
        <item x="3"/>
        <item x="4"/>
        <item x="5"/>
        <item x="6"/>
        <item x="7"/>
        <item x="8"/>
        <item x="9"/>
        <item x="10"/>
        <item x="11"/>
        <item x="12"/>
        <item x="13"/>
        <item t="default"/>
      </items>
    </pivotField>
    <pivotField showAll="0" measureFilter="1" sortType="descending">
      <autoSortScope>
        <pivotArea dataOnly="0" outline="0" fieldPosition="0">
          <references count="1">
            <reference field="4294967294" count="1" selected="0">
              <x v="0"/>
            </reference>
          </references>
        </pivotArea>
      </autoSortScope>
    </pivotField>
    <pivotField axis="axisRow" showAll="0" sortType="descending">
      <items count="7">
        <item x="3"/>
        <item x="5"/>
        <item x="1"/>
        <item x="2"/>
        <item x="4"/>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6">
        <item x="0"/>
        <item x="1"/>
        <item x="2"/>
        <item x="3"/>
        <item x="4"/>
        <item t="default"/>
      </items>
    </pivotField>
  </pivotFields>
  <rowFields count="1">
    <field x="2"/>
  </rowFields>
  <rowItems count="7">
    <i>
      <x v="3"/>
    </i>
    <i>
      <x/>
    </i>
    <i>
      <x v="1"/>
    </i>
    <i>
      <x v="5"/>
    </i>
    <i>
      <x v="4"/>
    </i>
    <i>
      <x v="2"/>
    </i>
    <i t="grand">
      <x/>
    </i>
  </rowItems>
  <colItems count="1">
    <i/>
  </colItems>
  <dataFields count="1">
    <dataField name="Sum of Selling Price (₦)" fld="5" baseField="0" baseItem="0"/>
  </dataField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49DE9-76C9-44A0-8A6D-02295C2A3E1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Product Name">
  <location ref="A31:B37" firstHeaderRow="1" firstDataRow="1" firstDataCol="1"/>
  <pivotFields count="10">
    <pivotField numFmtId="14" showAll="0">
      <items count="15">
        <item x="0"/>
        <item x="1"/>
        <item x="2"/>
        <item x="3"/>
        <item x="4"/>
        <item x="5"/>
        <item x="6"/>
        <item x="7"/>
        <item x="8"/>
        <item x="9"/>
        <item x="10"/>
        <item x="11"/>
        <item x="12"/>
        <item x="13"/>
        <item t="default"/>
      </items>
    </pivotField>
    <pivotField axis="axisRow" showAll="0" measureFilter="1" sortType="descending">
      <items count="9">
        <item x="4"/>
        <item x="3"/>
        <item x="1"/>
        <item x="2"/>
        <item x="7"/>
        <item x="5"/>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6">
        <item x="0"/>
        <item x="1"/>
        <item x="2"/>
        <item x="3"/>
        <item x="4"/>
        <item t="default"/>
      </items>
    </pivotField>
  </pivotFields>
  <rowFields count="1">
    <field x="1"/>
  </rowFields>
  <rowItems count="6">
    <i>
      <x v="1"/>
    </i>
    <i>
      <x/>
    </i>
    <i>
      <x v="4"/>
    </i>
    <i>
      <x v="7"/>
    </i>
    <i>
      <x v="5"/>
    </i>
    <i t="grand">
      <x/>
    </i>
  </rowItems>
  <colItems count="1">
    <i/>
  </colItems>
  <dataFields count="1">
    <dataField name="Sum of Selling Price (₦)" fld="5"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80C141-481D-4603-A5A6-2707F1A399AC}"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Monthly sale">
  <location ref="A1:B14" firstHeaderRow="1" firstDataRow="1" firstDataCol="1"/>
  <pivotFields count="1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items count="6">
        <item x="0"/>
        <item x="1"/>
        <item x="2"/>
        <item x="3"/>
        <item x="4"/>
        <item t="default"/>
      </items>
    </pivotField>
  </pivotFields>
  <rowFields count="1">
    <field x="0"/>
  </rowFields>
  <rowItems count="13">
    <i>
      <x v="1"/>
    </i>
    <i>
      <x v="2"/>
    </i>
    <i>
      <x v="3"/>
    </i>
    <i>
      <x v="4"/>
    </i>
    <i>
      <x v="5"/>
    </i>
    <i>
      <x v="6"/>
    </i>
    <i>
      <x v="7"/>
    </i>
    <i>
      <x v="8"/>
    </i>
    <i>
      <x v="9"/>
    </i>
    <i>
      <x v="10"/>
    </i>
    <i>
      <x v="11"/>
    </i>
    <i>
      <x v="12"/>
    </i>
    <i t="grand">
      <x/>
    </i>
  </rowItems>
  <colItems count="1">
    <i/>
  </colItems>
  <dataFields count="1">
    <dataField name="Sum of Selling Price (₦)"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173115C-EBAE-4AC3-B165-ECDC561A338F}" sourceName=" Date   ">
  <pivotTables>
    <pivotTable tabId="10" name="PivotTable2"/>
  </pivotTables>
  <data>
    <tabular pivotCacheId="85389317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Date   " xr10:uid="{3848C1EB-70E7-4E56-8636-3AE3EEE101FE}" cache="Slicer_Date" caption=" Date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A54FB2-E3B8-44D5-A508-9687C4BB9FDF}" name="Table1" displayName="Table1" ref="A1:I29" totalsRowShown="0">
  <autoFilter ref="A1:I29" xr:uid="{1CA54FB2-E3B8-44D5-A508-9687C4BB9FDF}"/>
  <sortState xmlns:xlrd2="http://schemas.microsoft.com/office/spreadsheetml/2017/richdata2" ref="A2:I27">
    <sortCondition ref="A1:A27"/>
  </sortState>
  <tableColumns count="9">
    <tableColumn id="1" xr3:uid="{C9B4019D-6BE1-4396-9E39-76F32CDD0367}" name=" Date   "/>
    <tableColumn id="2" xr3:uid="{80295C9B-FDBA-40DA-B90D-DC74A6FE4928}" name="Product Name"/>
    <tableColumn id="3" xr3:uid="{19D3E357-D784-412F-A2D9-CA175F9C8608}" name="Category ">
      <calculatedColumnFormula>IFERROR(VLOOKUP(B2,'Product List'!B:G,2,),"")</calculatedColumnFormula>
    </tableColumn>
    <tableColumn id="4" xr3:uid="{D012C25B-F537-45EF-AA42-C541F2C854A2}" name=" Qty Sold"/>
    <tableColumn id="5" xr3:uid="{00FB6E8E-4A69-4523-B12F-E227D04D7267}" name="Cost Price (₦)">
      <calculatedColumnFormula>IFERROR(VLOOKUP(B2,'Product List'!B:G,3,FALSE),"")</calculatedColumnFormula>
    </tableColumn>
    <tableColumn id="6" xr3:uid="{3C0EDA59-9394-48DF-A5DF-F992AAB931B3}" name="Selling Price (₦)">
      <calculatedColumnFormula>IFERROR(VLOOKUP(B2,'Product List'!B:G,4,FALSE),"")</calculatedColumnFormula>
    </tableColumn>
    <tableColumn id="7" xr3:uid="{464DE468-5D54-4B18-93B6-909470E05B65}" name="Profit per Unit  ">
      <calculatedColumnFormula>IFERROR(VLOOKUP(B2,'Product List'!B:G,5,FALSE),"")</calculatedColumnFormula>
    </tableColumn>
    <tableColumn id="8" xr3:uid="{F7F3CD71-E06F-4484-ADBF-C45419BBB753}" name="Total Profit (₦)">
      <calculatedColumnFormula>IF(D2="", "", D2 * G2)</calculatedColumnFormula>
    </tableColumn>
    <tableColumn id="9" xr3:uid="{CFF74268-60A6-4AAD-9685-AA6F4ED12690}" name="Payment Mod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DD0C7-2AFF-4549-AB94-96E07CDD4D82}">
  <sheetPr codeName="Sheet1"/>
  <dimension ref="A1:B6"/>
  <sheetViews>
    <sheetView workbookViewId="0">
      <selection sqref="A1:B6"/>
    </sheetView>
  </sheetViews>
  <sheetFormatPr defaultRowHeight="14.5"/>
  <cols>
    <col min="2" max="2" width="16.26953125" customWidth="1"/>
  </cols>
  <sheetData>
    <row r="1" spans="1:2" ht="29">
      <c r="A1" s="1" t="s">
        <v>0</v>
      </c>
      <c r="B1" s="1" t="s">
        <v>1</v>
      </c>
    </row>
    <row r="2" spans="1:2" ht="72.5">
      <c r="A2" s="3" t="s">
        <v>2</v>
      </c>
      <c r="B2" s="2" t="s">
        <v>3</v>
      </c>
    </row>
    <row r="3" spans="1:2" ht="72.5">
      <c r="A3" s="3" t="s">
        <v>4</v>
      </c>
      <c r="B3" s="2" t="s">
        <v>5</v>
      </c>
    </row>
    <row r="4" spans="1:2" ht="72.5">
      <c r="A4" s="3" t="s">
        <v>6</v>
      </c>
      <c r="B4" s="2" t="s">
        <v>7</v>
      </c>
    </row>
    <row r="5" spans="1:2" ht="58">
      <c r="A5" s="3" t="s">
        <v>8</v>
      </c>
      <c r="B5" s="2" t="s">
        <v>9</v>
      </c>
    </row>
    <row r="6" spans="1:2" ht="72.5">
      <c r="A6" s="3" t="s">
        <v>10</v>
      </c>
      <c r="B6" s="2"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C02F-4E5C-4BAE-90DE-8DD9A28506D0}">
  <sheetPr codeName="Sheet2"/>
  <dimension ref="A31:B56"/>
  <sheetViews>
    <sheetView topLeftCell="A2" workbookViewId="0">
      <selection activeCell="D15" sqref="D15"/>
    </sheetView>
  </sheetViews>
  <sheetFormatPr defaultRowHeight="14.5"/>
  <cols>
    <col min="1" max="1" width="10.7265625" bestFit="1" customWidth="1"/>
    <col min="2" max="2" width="20.1796875" bestFit="1" customWidth="1"/>
  </cols>
  <sheetData>
    <row r="31" spans="1:2">
      <c r="A31" s="9" t="s">
        <v>35</v>
      </c>
      <c r="B31" t="s">
        <v>149</v>
      </c>
    </row>
    <row r="32" spans="1:2">
      <c r="A32" s="11" t="s">
        <v>75</v>
      </c>
      <c r="B32" s="13">
        <v>4000</v>
      </c>
    </row>
    <row r="33" spans="1:2">
      <c r="A33" s="11" t="s">
        <v>29</v>
      </c>
      <c r="B33" s="13">
        <v>2800</v>
      </c>
    </row>
    <row r="34" spans="1:2">
      <c r="A34" s="11" t="s">
        <v>26</v>
      </c>
      <c r="B34" s="13">
        <v>2300</v>
      </c>
    </row>
    <row r="35" spans="1:2">
      <c r="A35" s="11" t="s">
        <v>27</v>
      </c>
      <c r="B35" s="13">
        <v>1680</v>
      </c>
    </row>
    <row r="36" spans="1:2">
      <c r="A36" s="11" t="s">
        <v>100</v>
      </c>
      <c r="B36" s="13">
        <v>1600</v>
      </c>
    </row>
    <row r="37" spans="1:2">
      <c r="A37" s="11" t="s">
        <v>136</v>
      </c>
      <c r="B37" s="13">
        <v>12380</v>
      </c>
    </row>
    <row r="49" spans="1:2">
      <c r="A49" s="9" t="s">
        <v>151</v>
      </c>
      <c r="B49" t="s">
        <v>149</v>
      </c>
    </row>
    <row r="50" spans="1:2">
      <c r="A50" s="11" t="s">
        <v>19</v>
      </c>
      <c r="B50" s="13">
        <v>6000</v>
      </c>
    </row>
    <row r="51" spans="1:2">
      <c r="A51" s="11" t="s">
        <v>22</v>
      </c>
      <c r="B51" s="13">
        <v>2800</v>
      </c>
    </row>
    <row r="52" spans="1:2">
      <c r="A52" s="11" t="s">
        <v>20</v>
      </c>
      <c r="B52" s="13">
        <v>2300</v>
      </c>
    </row>
    <row r="53" spans="1:2">
      <c r="A53" s="11" t="s">
        <v>24</v>
      </c>
      <c r="B53" s="13">
        <v>1680</v>
      </c>
    </row>
    <row r="54" spans="1:2">
      <c r="A54" s="11" t="s">
        <v>21</v>
      </c>
      <c r="B54" s="13">
        <v>1600</v>
      </c>
    </row>
    <row r="55" spans="1:2">
      <c r="A55" s="11" t="s">
        <v>23</v>
      </c>
      <c r="B55" s="13">
        <v>1400</v>
      </c>
    </row>
    <row r="56" spans="1:2">
      <c r="A56" s="11" t="s">
        <v>136</v>
      </c>
      <c r="B56" s="13">
        <v>15780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E35-F929-48A1-837B-5D73845FE008}">
  <sheetPr codeName="Sheet3"/>
  <dimension ref="A1:B14"/>
  <sheetViews>
    <sheetView workbookViewId="0">
      <selection activeCell="B5" sqref="B5"/>
    </sheetView>
  </sheetViews>
  <sheetFormatPr defaultRowHeight="14.5"/>
  <cols>
    <col min="1" max="1" width="13.90625" bestFit="1" customWidth="1"/>
    <col min="2" max="2" width="20.1796875" bestFit="1" customWidth="1"/>
  </cols>
  <sheetData>
    <row r="1" spans="1:2">
      <c r="A1" s="9" t="s">
        <v>150</v>
      </c>
      <c r="B1" t="s">
        <v>149</v>
      </c>
    </row>
    <row r="2" spans="1:2">
      <c r="A2" s="10" t="s">
        <v>146</v>
      </c>
      <c r="B2" s="13">
        <v>900</v>
      </c>
    </row>
    <row r="3" spans="1:2">
      <c r="A3" s="10" t="s">
        <v>147</v>
      </c>
      <c r="B3" s="13">
        <v>1800</v>
      </c>
    </row>
    <row r="4" spans="1:2">
      <c r="A4" s="10" t="s">
        <v>148</v>
      </c>
      <c r="B4" s="13">
        <v>940</v>
      </c>
    </row>
    <row r="5" spans="1:2">
      <c r="A5" s="10" t="s">
        <v>137</v>
      </c>
      <c r="B5" s="13">
        <v>1440</v>
      </c>
    </row>
    <row r="6" spans="1:2">
      <c r="A6" s="10" t="s">
        <v>138</v>
      </c>
      <c r="B6" s="13">
        <v>1240</v>
      </c>
    </row>
    <row r="7" spans="1:2">
      <c r="A7" s="10" t="s">
        <v>139</v>
      </c>
      <c r="B7" s="13">
        <v>940</v>
      </c>
    </row>
    <row r="8" spans="1:2">
      <c r="A8" s="10" t="s">
        <v>140</v>
      </c>
      <c r="B8" s="13">
        <v>400</v>
      </c>
    </row>
    <row r="9" spans="1:2">
      <c r="A9" s="10" t="s">
        <v>141</v>
      </c>
      <c r="B9" s="13">
        <v>940</v>
      </c>
    </row>
    <row r="10" spans="1:2">
      <c r="A10" s="10" t="s">
        <v>142</v>
      </c>
      <c r="B10" s="13">
        <v>440</v>
      </c>
    </row>
    <row r="11" spans="1:2">
      <c r="A11" s="10" t="s">
        <v>143</v>
      </c>
      <c r="B11" s="13">
        <v>3300</v>
      </c>
    </row>
    <row r="12" spans="1:2">
      <c r="A12" s="10" t="s">
        <v>144</v>
      </c>
      <c r="B12" s="13">
        <v>2000</v>
      </c>
    </row>
    <row r="13" spans="1:2">
      <c r="A13" s="10" t="s">
        <v>145</v>
      </c>
      <c r="B13" s="13">
        <v>1440</v>
      </c>
    </row>
    <row r="14" spans="1:2">
      <c r="A14" s="10" t="s">
        <v>136</v>
      </c>
      <c r="B14" s="13">
        <v>15780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512A-E4A2-473E-A2E5-945EE56465EE}">
  <sheetPr codeName="Sheet4"/>
  <dimension ref="A1:E7"/>
  <sheetViews>
    <sheetView topLeftCell="A2" workbookViewId="0">
      <selection activeCell="D2" sqref="D2:D7"/>
    </sheetView>
  </sheetViews>
  <sheetFormatPr defaultRowHeight="14.5"/>
  <cols>
    <col min="1" max="1" width="18.1796875" style="7" customWidth="1"/>
    <col min="2" max="2" width="16.6328125" customWidth="1"/>
    <col min="3" max="3" width="18.81640625" customWidth="1"/>
    <col min="4" max="4" width="16" style="6" customWidth="1"/>
    <col min="5" max="5" width="17.1796875" customWidth="1"/>
  </cols>
  <sheetData>
    <row r="1" spans="1:5">
      <c r="A1" s="7" t="s">
        <v>47</v>
      </c>
      <c r="B1" t="s">
        <v>48</v>
      </c>
      <c r="C1" t="s">
        <v>49</v>
      </c>
      <c r="D1" s="6" t="s">
        <v>51</v>
      </c>
      <c r="E1" t="s">
        <v>50</v>
      </c>
    </row>
    <row r="2" spans="1:5">
      <c r="A2" s="7">
        <v>46014</v>
      </c>
      <c r="B2" t="s">
        <v>54</v>
      </c>
      <c r="C2" t="s">
        <v>134</v>
      </c>
      <c r="D2" s="6">
        <v>23</v>
      </c>
      <c r="E2" t="s">
        <v>44</v>
      </c>
    </row>
    <row r="3" spans="1:5">
      <c r="A3" s="7">
        <v>46015</v>
      </c>
      <c r="B3" t="s">
        <v>57</v>
      </c>
      <c r="C3" t="s">
        <v>130</v>
      </c>
      <c r="D3" s="6">
        <v>3500</v>
      </c>
      <c r="E3" t="s">
        <v>45</v>
      </c>
    </row>
    <row r="4" spans="1:5">
      <c r="A4" s="7">
        <v>46016</v>
      </c>
      <c r="B4" t="s">
        <v>56</v>
      </c>
      <c r="C4" t="s">
        <v>131</v>
      </c>
      <c r="D4" s="6">
        <v>1000</v>
      </c>
      <c r="E4" t="s">
        <v>44</v>
      </c>
    </row>
    <row r="5" spans="1:5">
      <c r="A5" s="7">
        <v>46017</v>
      </c>
      <c r="B5" t="s">
        <v>59</v>
      </c>
      <c r="C5" t="s">
        <v>132</v>
      </c>
      <c r="D5" s="6">
        <v>1200</v>
      </c>
      <c r="E5" t="s">
        <v>46</v>
      </c>
    </row>
    <row r="6" spans="1:5">
      <c r="A6" s="7">
        <v>46018</v>
      </c>
      <c r="B6" t="s">
        <v>54</v>
      </c>
      <c r="C6" t="s">
        <v>135</v>
      </c>
      <c r="D6" s="6">
        <v>1000</v>
      </c>
      <c r="E6" t="s">
        <v>45</v>
      </c>
    </row>
    <row r="7" spans="1:5">
      <c r="A7" s="7">
        <v>46019</v>
      </c>
      <c r="B7" t="s">
        <v>56</v>
      </c>
      <c r="C7" t="s">
        <v>133</v>
      </c>
      <c r="D7" s="6">
        <v>4700</v>
      </c>
      <c r="E7" t="s">
        <v>45</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725C5DB-BE39-49B9-BD7A-0AABC834D539}">
          <x14:formula1>
            <xm:f>Settings!$D$2:$D$9</xm:f>
          </x14:formula1>
          <xm:sqref>B2:B70</xm:sqref>
        </x14:dataValidation>
        <x14:dataValidation type="list" allowBlank="1" showInputMessage="1" showErrorMessage="1" xr:uid="{5BC706D6-97F4-4F32-A7A8-4578994E0F7F}">
          <x14:formula1>
            <xm:f>Settings!$B$2:$B$5</xm:f>
          </x14:formula1>
          <xm:sqref>E2:E70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E493-D9CD-4934-BB72-FD313160C85A}">
  <sheetPr codeName="Sheet5"/>
  <dimension ref="A1:I29"/>
  <sheetViews>
    <sheetView tabSelected="1" topLeftCell="A11" workbookViewId="0">
      <selection activeCell="C29" sqref="C29"/>
    </sheetView>
  </sheetViews>
  <sheetFormatPr defaultRowHeight="14.5"/>
  <cols>
    <col min="1" max="1" width="11.453125" customWidth="1"/>
    <col min="2" max="2" width="14.81640625" customWidth="1"/>
    <col min="3" max="3" width="13.54296875" customWidth="1"/>
    <col min="4" max="4" width="11.453125" customWidth="1"/>
    <col min="5" max="5" width="14.1796875" customWidth="1"/>
    <col min="6" max="7" width="16.81640625" customWidth="1"/>
    <col min="8" max="8" width="17.08984375" customWidth="1"/>
    <col min="9" max="9" width="18.36328125" customWidth="1"/>
  </cols>
  <sheetData>
    <row r="1" spans="1:9">
      <c r="A1" t="s">
        <v>34</v>
      </c>
      <c r="B1" t="s">
        <v>35</v>
      </c>
      <c r="C1" t="s">
        <v>36</v>
      </c>
      <c r="D1" t="s">
        <v>37</v>
      </c>
      <c r="E1" t="s">
        <v>38</v>
      </c>
      <c r="F1" t="s">
        <v>16</v>
      </c>
      <c r="G1" t="s">
        <v>39</v>
      </c>
      <c r="H1" t="s">
        <v>40</v>
      </c>
      <c r="I1" t="s">
        <v>41</v>
      </c>
    </row>
    <row r="2" spans="1:9">
      <c r="A2" s="7">
        <v>43924</v>
      </c>
      <c r="B2" t="s">
        <v>27</v>
      </c>
      <c r="C2" t="str">
        <f>IFERROR(VLOOKUP(B2,'Product List'!B:G,2,),"")</f>
        <v>Beauty</v>
      </c>
      <c r="D2">
        <v>5</v>
      </c>
      <c r="E2">
        <f>IFERROR(VLOOKUP(B2,'Product List'!B:G,3,FALSE),"")</f>
        <v>120</v>
      </c>
      <c r="F2">
        <f>IFERROR(VLOOKUP(B2,'Product List'!B:G,4,FALSE),"")</f>
        <v>240</v>
      </c>
      <c r="G2">
        <f>IFERROR(VLOOKUP(B2,'Product List'!B:G,5,FALSE),"")</f>
        <v>120</v>
      </c>
      <c r="H2">
        <f t="shared" ref="H2:H27" si="0">IF(D2="", "", D2 * G2)</f>
        <v>600</v>
      </c>
      <c r="I2" t="s">
        <v>44</v>
      </c>
    </row>
    <row r="3" spans="1:9">
      <c r="A3" s="7">
        <v>43954</v>
      </c>
      <c r="B3" t="s">
        <v>27</v>
      </c>
      <c r="C3" t="str">
        <f>IFERROR(VLOOKUP(B3,'Product List'!B:G,2,),"")</f>
        <v>Beauty</v>
      </c>
      <c r="D3">
        <v>6</v>
      </c>
      <c r="E3">
        <f>IFERROR(VLOOKUP(B3,'Product List'!B:G,3,FALSE),"")</f>
        <v>120</v>
      </c>
      <c r="F3">
        <f>IFERROR(VLOOKUP(B3,'Product List'!B:G,4,FALSE),"")</f>
        <v>240</v>
      </c>
      <c r="G3">
        <f>IFERROR(VLOOKUP(B3,'Product List'!B:G,5,FALSE),"")</f>
        <v>120</v>
      </c>
      <c r="H3">
        <f t="shared" si="0"/>
        <v>720</v>
      </c>
      <c r="I3" t="s">
        <v>45</v>
      </c>
    </row>
    <row r="4" spans="1:9">
      <c r="A4" s="7">
        <v>43985</v>
      </c>
      <c r="B4" t="s">
        <v>27</v>
      </c>
      <c r="C4" t="str">
        <f>IFERROR(VLOOKUP(B4,'Product List'!B:G,2,),"")</f>
        <v>Beauty</v>
      </c>
      <c r="D4">
        <v>5</v>
      </c>
      <c r="E4">
        <f>IFERROR(VLOOKUP(B4,'Product List'!B:G,3,FALSE),"")</f>
        <v>120</v>
      </c>
      <c r="F4">
        <f>IFERROR(VLOOKUP(B4,'Product List'!B:G,4,FALSE),"")</f>
        <v>240</v>
      </c>
      <c r="G4">
        <f>IFERROR(VLOOKUP(B4,'Product List'!B:G,5,FALSE),"")</f>
        <v>120</v>
      </c>
      <c r="H4">
        <f t="shared" si="0"/>
        <v>600</v>
      </c>
      <c r="I4" t="s">
        <v>43</v>
      </c>
    </row>
    <row r="5" spans="1:9">
      <c r="A5" s="7">
        <v>44015</v>
      </c>
      <c r="B5" t="s">
        <v>28</v>
      </c>
      <c r="C5" t="str">
        <f>IFERROR(VLOOKUP(B5,'Product List'!B:G,2,),"")</f>
        <v>Electronics</v>
      </c>
      <c r="D5">
        <v>2</v>
      </c>
      <c r="E5">
        <f>IFERROR(VLOOKUP(B5,'Product List'!B:G,3,FALSE),"")</f>
        <v>180</v>
      </c>
      <c r="F5">
        <f>IFERROR(VLOOKUP(B5,'Product List'!B:G,4,FALSE),"")</f>
        <v>200</v>
      </c>
      <c r="G5">
        <f>IFERROR(VLOOKUP(B5,'Product List'!B:G,5,FALSE),"")</f>
        <v>20</v>
      </c>
      <c r="H5">
        <f t="shared" si="0"/>
        <v>40</v>
      </c>
      <c r="I5" t="s">
        <v>45</v>
      </c>
    </row>
    <row r="6" spans="1:9">
      <c r="A6" s="7">
        <v>44046</v>
      </c>
      <c r="B6" t="s">
        <v>27</v>
      </c>
      <c r="C6" t="str">
        <f>IFERROR(VLOOKUP(B6,'Product List'!B:G,2,),"")</f>
        <v>Beauty</v>
      </c>
      <c r="D6">
        <v>2</v>
      </c>
      <c r="E6">
        <f>IFERROR(VLOOKUP(B6,'Product List'!B:G,3,FALSE),"")</f>
        <v>120</v>
      </c>
      <c r="F6">
        <f>IFERROR(VLOOKUP(B6,'Product List'!B:G,4,FALSE),"")</f>
        <v>240</v>
      </c>
      <c r="G6">
        <f>IFERROR(VLOOKUP(B6,'Product List'!B:G,5,FALSE),"")</f>
        <v>120</v>
      </c>
      <c r="H6">
        <f t="shared" si="0"/>
        <v>240</v>
      </c>
      <c r="I6" t="s">
        <v>44</v>
      </c>
    </row>
    <row r="7" spans="1:9">
      <c r="A7" s="7">
        <v>44077</v>
      </c>
      <c r="B7" t="s">
        <v>27</v>
      </c>
      <c r="C7" t="str">
        <f>IFERROR(VLOOKUP(B7,'Product List'!B:G,2,),"")</f>
        <v>Beauty</v>
      </c>
      <c r="D7">
        <v>4</v>
      </c>
      <c r="E7">
        <f>IFERROR(VLOOKUP(B7,'Product List'!B:G,3,FALSE),"")</f>
        <v>120</v>
      </c>
      <c r="F7">
        <f>IFERROR(VLOOKUP(B7,'Product List'!B:G,4,FALSE),"")</f>
        <v>240</v>
      </c>
      <c r="G7">
        <f>IFERROR(VLOOKUP(B7,'Product List'!B:G,5,FALSE),"")</f>
        <v>120</v>
      </c>
      <c r="H7">
        <f t="shared" si="0"/>
        <v>480</v>
      </c>
      <c r="I7" t="s">
        <v>46</v>
      </c>
    </row>
    <row r="8" spans="1:9">
      <c r="A8" s="7">
        <v>44107</v>
      </c>
      <c r="B8" t="s">
        <v>73</v>
      </c>
      <c r="C8" t="str">
        <f>IFERROR(VLOOKUP(B8,'Product List'!B:G,2,),"")</f>
        <v>Drinks</v>
      </c>
      <c r="D8">
        <v>9</v>
      </c>
      <c r="E8">
        <f>IFERROR(VLOOKUP(B8,'Product List'!B:G,3,FALSE),"")</f>
        <v>900</v>
      </c>
      <c r="F8">
        <f>IFERROR(VLOOKUP(B8,'Product List'!B:G,4,FALSE),"")</f>
        <v>1000</v>
      </c>
      <c r="G8">
        <f>IFERROR(VLOOKUP(B8,'Product List'!B:G,5,FALSE),"")</f>
        <v>100</v>
      </c>
      <c r="H8">
        <f t="shared" si="0"/>
        <v>900</v>
      </c>
      <c r="I8" t="s">
        <v>44</v>
      </c>
    </row>
    <row r="9" spans="1:9">
      <c r="A9" s="7">
        <v>44138</v>
      </c>
      <c r="B9" t="s">
        <v>75</v>
      </c>
      <c r="C9" t="str">
        <f>IFERROR(VLOOKUP(B9,'Product List'!B:G,2,),"")</f>
        <v>Drinks</v>
      </c>
      <c r="D9">
        <v>10</v>
      </c>
      <c r="E9">
        <f>IFERROR(VLOOKUP(B9,'Product List'!B:G,3,FALSE),"")</f>
        <v>700</v>
      </c>
      <c r="F9">
        <f>IFERROR(VLOOKUP(B9,'Product List'!B:G,4,FALSE),"")</f>
        <v>1000</v>
      </c>
      <c r="G9">
        <f>IFERROR(VLOOKUP(B9,'Product List'!B:G,5,FALSE),"")</f>
        <v>300</v>
      </c>
      <c r="H9">
        <f t="shared" si="0"/>
        <v>3000</v>
      </c>
      <c r="I9" t="s">
        <v>45</v>
      </c>
    </row>
    <row r="10" spans="1:9">
      <c r="A10" s="7">
        <v>44168</v>
      </c>
      <c r="B10" t="s">
        <v>27</v>
      </c>
      <c r="C10" t="str">
        <f>IFERROR(VLOOKUP(B10,'Product List'!B:G,2,),"")</f>
        <v>Beauty</v>
      </c>
      <c r="D10">
        <v>2</v>
      </c>
      <c r="E10">
        <f>IFERROR(VLOOKUP(B10,'Product List'!B:G,3,FALSE),"")</f>
        <v>120</v>
      </c>
      <c r="F10">
        <f>IFERROR(VLOOKUP(B10,'Product List'!B:G,4,FALSE),"")</f>
        <v>240</v>
      </c>
      <c r="G10">
        <f>IFERROR(VLOOKUP(B10,'Product List'!B:G,5,FALSE),"")</f>
        <v>120</v>
      </c>
      <c r="H10">
        <f t="shared" si="0"/>
        <v>240</v>
      </c>
      <c r="I10" t="s">
        <v>44</v>
      </c>
    </row>
    <row r="11" spans="1:9">
      <c r="A11" s="7">
        <v>44168</v>
      </c>
      <c r="B11" t="s">
        <v>28</v>
      </c>
      <c r="C11" t="str">
        <f>IFERROR(VLOOKUP(B11,'Product List'!B:G,2,),"")</f>
        <v>Electronics</v>
      </c>
      <c r="D11">
        <v>3</v>
      </c>
      <c r="E11">
        <f>IFERROR(VLOOKUP(B11,'Product List'!B:G,3,FALSE),"")</f>
        <v>180</v>
      </c>
      <c r="F11">
        <f>IFERROR(VLOOKUP(B11,'Product List'!B:G,4,FALSE),"")</f>
        <v>200</v>
      </c>
      <c r="G11">
        <f>IFERROR(VLOOKUP(B11,'Product List'!B:G,5,FALSE),"")</f>
        <v>20</v>
      </c>
      <c r="H11">
        <f t="shared" si="0"/>
        <v>60</v>
      </c>
      <c r="I11" t="s">
        <v>44</v>
      </c>
    </row>
    <row r="12" spans="1:9">
      <c r="A12" s="7">
        <v>44199</v>
      </c>
      <c r="B12" t="s">
        <v>29</v>
      </c>
      <c r="C12" t="str">
        <f>IFERROR(VLOOKUP(B12,'Product List'!B:G,2,),"")</f>
        <v>Stationery</v>
      </c>
      <c r="D12">
        <v>5</v>
      </c>
      <c r="E12">
        <f>IFERROR(VLOOKUP(B12,'Product List'!B:G,3,FALSE),"")</f>
        <v>500</v>
      </c>
      <c r="F12">
        <f>IFERROR(VLOOKUP(B12,'Product List'!B:G,4,FALSE),"")</f>
        <v>700</v>
      </c>
      <c r="G12">
        <f>IFERROR(VLOOKUP(B12,'Product List'!B:G,5,FALSE),"")</f>
        <v>200</v>
      </c>
      <c r="H12">
        <f t="shared" si="0"/>
        <v>1000</v>
      </c>
      <c r="I12" t="s">
        <v>44</v>
      </c>
    </row>
    <row r="13" spans="1:9">
      <c r="A13" s="7">
        <v>44230</v>
      </c>
      <c r="B13" t="s">
        <v>100</v>
      </c>
      <c r="C13" t="str">
        <f>IFERROR(VLOOKUP(B13,'Product List'!B:G,2,),"")</f>
        <v>Clothes</v>
      </c>
      <c r="D13">
        <v>5</v>
      </c>
      <c r="E13">
        <f>IFERROR(VLOOKUP(B13,'Product List'!B:G,3,FALSE),"")</f>
        <v>1300</v>
      </c>
      <c r="F13">
        <f>IFERROR(VLOOKUP(B13,'Product List'!B:G,4,FALSE),"")</f>
        <v>1600</v>
      </c>
      <c r="G13">
        <f>IFERROR(VLOOKUP(B13,'Product List'!B:G,5,FALSE),"")</f>
        <v>300</v>
      </c>
      <c r="H13">
        <f t="shared" si="0"/>
        <v>1500</v>
      </c>
      <c r="I13" t="s">
        <v>44</v>
      </c>
    </row>
    <row r="14" spans="1:9">
      <c r="A14" s="7">
        <v>44258</v>
      </c>
      <c r="B14" t="s">
        <v>29</v>
      </c>
      <c r="C14" t="str">
        <f>IFERROR(VLOOKUP(B14,'Product List'!B:G,2,),"")</f>
        <v>Stationery</v>
      </c>
      <c r="D14">
        <v>5</v>
      </c>
      <c r="E14">
        <f>IFERROR(VLOOKUP(B14,'Product List'!B:G,3,FALSE),"")</f>
        <v>500</v>
      </c>
      <c r="F14">
        <f>IFERROR(VLOOKUP(B14,'Product List'!B:G,4,FALSE),"")</f>
        <v>700</v>
      </c>
      <c r="G14">
        <f>IFERROR(VLOOKUP(B14,'Product List'!B:G,5,FALSE),"")</f>
        <v>200</v>
      </c>
      <c r="H14">
        <f t="shared" si="0"/>
        <v>1000</v>
      </c>
      <c r="I14" t="s">
        <v>44</v>
      </c>
    </row>
    <row r="15" spans="1:9">
      <c r="A15" s="7">
        <v>44289</v>
      </c>
      <c r="B15" t="s">
        <v>75</v>
      </c>
      <c r="C15" t="str">
        <f>IFERROR(VLOOKUP(B15,'Product List'!B:G,2,),"")</f>
        <v>Drinks</v>
      </c>
      <c r="D15">
        <v>30</v>
      </c>
      <c r="E15">
        <f>IFERROR(VLOOKUP(B15,'Product List'!B:G,3,FALSE),"")</f>
        <v>700</v>
      </c>
      <c r="F15">
        <f>IFERROR(VLOOKUP(B15,'Product List'!B:G,4,FALSE),"")</f>
        <v>1000</v>
      </c>
      <c r="G15">
        <f>IFERROR(VLOOKUP(B15,'Product List'!B:G,5,FALSE),"")</f>
        <v>300</v>
      </c>
      <c r="H15">
        <f t="shared" si="0"/>
        <v>9000</v>
      </c>
      <c r="I15" t="s">
        <v>44</v>
      </c>
    </row>
    <row r="16" spans="1:9">
      <c r="A16" s="7">
        <v>44319</v>
      </c>
      <c r="B16" t="s">
        <v>76</v>
      </c>
      <c r="C16" t="str">
        <f>IFERROR(VLOOKUP(B16,'Product List'!B:G,2,),"")</f>
        <v>Drinks</v>
      </c>
      <c r="D16">
        <v>5</v>
      </c>
      <c r="E16">
        <f>IFERROR(VLOOKUP(B16,'Product List'!B:G,3,FALSE),"")</f>
        <v>700</v>
      </c>
      <c r="F16">
        <f>IFERROR(VLOOKUP(B16,'Product List'!B:G,4,FALSE),"")</f>
        <v>1000</v>
      </c>
      <c r="G16">
        <f>IFERROR(VLOOKUP(B16,'Product List'!B:G,5,FALSE),"")</f>
        <v>300</v>
      </c>
      <c r="H16">
        <f t="shared" si="0"/>
        <v>1500</v>
      </c>
      <c r="I16" t="s">
        <v>44</v>
      </c>
    </row>
    <row r="17" spans="1:9">
      <c r="A17" s="7">
        <v>44350</v>
      </c>
      <c r="B17" t="s">
        <v>29</v>
      </c>
      <c r="C17" t="str">
        <f>IFERROR(VLOOKUP(B17,'Product List'!B:G,2,),"")</f>
        <v>Stationery</v>
      </c>
      <c r="D17">
        <v>6</v>
      </c>
      <c r="E17">
        <f>IFERROR(VLOOKUP(B17,'Product List'!B:G,3,FALSE),"")</f>
        <v>500</v>
      </c>
      <c r="F17">
        <f>IFERROR(VLOOKUP(B17,'Product List'!B:G,4,FALSE),"")</f>
        <v>700</v>
      </c>
      <c r="G17">
        <f>IFERROR(VLOOKUP(B17,'Product List'!B:G,5,FALSE),"")</f>
        <v>200</v>
      </c>
      <c r="H17">
        <f t="shared" si="0"/>
        <v>1200</v>
      </c>
      <c r="I17" t="s">
        <v>45</v>
      </c>
    </row>
    <row r="18" spans="1:9">
      <c r="A18" s="7">
        <v>44380</v>
      </c>
      <c r="B18" t="s">
        <v>28</v>
      </c>
      <c r="C18" t="str">
        <f>IFERROR(VLOOKUP(B18,'Product List'!B:G,2,),"")</f>
        <v>Electronics</v>
      </c>
      <c r="D18">
        <v>6</v>
      </c>
      <c r="E18">
        <f>IFERROR(VLOOKUP(B18,'Product List'!B:G,3,FALSE),"")</f>
        <v>180</v>
      </c>
      <c r="F18">
        <f>IFERROR(VLOOKUP(B18,'Product List'!B:G,4,FALSE),"")</f>
        <v>200</v>
      </c>
      <c r="G18">
        <f>IFERROR(VLOOKUP(B18,'Product List'!B:G,5,FALSE),"")</f>
        <v>20</v>
      </c>
      <c r="H18">
        <f t="shared" si="0"/>
        <v>120</v>
      </c>
      <c r="I18" t="s">
        <v>44</v>
      </c>
    </row>
    <row r="19" spans="1:9">
      <c r="A19" s="7">
        <v>44411</v>
      </c>
      <c r="B19" t="s">
        <v>29</v>
      </c>
      <c r="C19" t="str">
        <f>IFERROR(VLOOKUP(B19,'Product List'!B:G,2,),"")</f>
        <v>Stationery</v>
      </c>
      <c r="D19">
        <v>6</v>
      </c>
      <c r="E19">
        <f>IFERROR(VLOOKUP(B19,'Product List'!B:G,3,FALSE),"")</f>
        <v>500</v>
      </c>
      <c r="F19">
        <f>IFERROR(VLOOKUP(B19,'Product List'!B:G,4,FALSE),"")</f>
        <v>700</v>
      </c>
      <c r="G19">
        <f>IFERROR(VLOOKUP(B19,'Product List'!B:G,5,FALSE),"")</f>
        <v>200</v>
      </c>
      <c r="H19">
        <f t="shared" si="0"/>
        <v>1200</v>
      </c>
      <c r="I19" t="s">
        <v>45</v>
      </c>
    </row>
    <row r="20" spans="1:9">
      <c r="A20" s="7">
        <v>44442</v>
      </c>
      <c r="B20" t="s">
        <v>28</v>
      </c>
      <c r="C20" t="str">
        <f>IFERROR(VLOOKUP(B20,'Product List'!B:G,2,),"")</f>
        <v>Electronics</v>
      </c>
      <c r="D20">
        <v>6</v>
      </c>
      <c r="E20">
        <f>IFERROR(VLOOKUP(B20,'Product List'!B:G,3,FALSE),"")</f>
        <v>180</v>
      </c>
      <c r="F20">
        <f>IFERROR(VLOOKUP(B20,'Product List'!B:G,4,FALSE),"")</f>
        <v>200</v>
      </c>
      <c r="G20">
        <f>IFERROR(VLOOKUP(B20,'Product List'!B:G,5,FALSE),"")</f>
        <v>20</v>
      </c>
      <c r="H20">
        <f t="shared" si="0"/>
        <v>120</v>
      </c>
      <c r="I20" t="s">
        <v>44</v>
      </c>
    </row>
    <row r="21" spans="1:9">
      <c r="A21" s="7">
        <v>44472</v>
      </c>
      <c r="B21" t="s">
        <v>26</v>
      </c>
      <c r="C21" t="str">
        <f>IFERROR(VLOOKUP(B21,'Product List'!B:G,2,),"")</f>
        <v>Food</v>
      </c>
      <c r="D21">
        <v>9</v>
      </c>
      <c r="E21">
        <f>IFERROR(VLOOKUP(B21,'Product List'!B:G,3,FALSE),"")</f>
        <v>1000</v>
      </c>
      <c r="F21">
        <f>IFERROR(VLOOKUP(B21,'Product List'!B:G,4,FALSE),"")</f>
        <v>2300</v>
      </c>
      <c r="G21">
        <f>IFERROR(VLOOKUP(B21,'Product List'!B:G,5,FALSE),"")</f>
        <v>1300</v>
      </c>
      <c r="H21">
        <f t="shared" si="0"/>
        <v>11700</v>
      </c>
      <c r="I21" t="s">
        <v>46</v>
      </c>
    </row>
    <row r="22" spans="1:9">
      <c r="A22" s="7">
        <v>44503</v>
      </c>
      <c r="B22" t="s">
        <v>75</v>
      </c>
      <c r="C22" t="str">
        <f>IFERROR(VLOOKUP(B22,'Product List'!B:G,2,),"")</f>
        <v>Drinks</v>
      </c>
      <c r="D22">
        <v>20</v>
      </c>
      <c r="E22">
        <f>IFERROR(VLOOKUP(B22,'Product List'!B:G,3,FALSE),"")</f>
        <v>700</v>
      </c>
      <c r="F22">
        <f>IFERROR(VLOOKUP(B22,'Product List'!B:G,4,FALSE),"")</f>
        <v>1000</v>
      </c>
      <c r="G22">
        <f>IFERROR(VLOOKUP(B22,'Product List'!B:G,5,FALSE),"")</f>
        <v>300</v>
      </c>
      <c r="H22">
        <f t="shared" si="0"/>
        <v>6000</v>
      </c>
      <c r="I22" t="s">
        <v>44</v>
      </c>
    </row>
    <row r="23" spans="1:9">
      <c r="A23" s="7">
        <v>44533</v>
      </c>
      <c r="B23" t="s">
        <v>75</v>
      </c>
      <c r="C23" t="str">
        <f>IFERROR(VLOOKUP(B23,'Product List'!B:G,2,),"")</f>
        <v>Drinks</v>
      </c>
      <c r="D23">
        <v>8</v>
      </c>
      <c r="E23">
        <f>IFERROR(VLOOKUP(B23,'Product List'!B:G,3,FALSE),"")</f>
        <v>700</v>
      </c>
      <c r="F23">
        <f>IFERROR(VLOOKUP(B23,'Product List'!B:G,4,FALSE),"")</f>
        <v>1000</v>
      </c>
      <c r="G23">
        <f>IFERROR(VLOOKUP(B23,'Product List'!B:G,5,FALSE),"")</f>
        <v>300</v>
      </c>
      <c r="H23">
        <f t="shared" si="0"/>
        <v>2400</v>
      </c>
      <c r="I23" t="s">
        <v>45</v>
      </c>
    </row>
    <row r="24" spans="1:9">
      <c r="A24" s="7">
        <v>44564</v>
      </c>
      <c r="B24" t="s">
        <v>28</v>
      </c>
      <c r="C24" t="str">
        <f>IFERROR(VLOOKUP(B24,'Product List'!B:G,2,),"")</f>
        <v>Electronics</v>
      </c>
      <c r="D24">
        <v>3</v>
      </c>
      <c r="E24">
        <f>IFERROR(VLOOKUP(B24,'Product List'!B:G,3,FALSE),"")</f>
        <v>180</v>
      </c>
      <c r="F24">
        <f>IFERROR(VLOOKUP(B24,'Product List'!B:G,4,FALSE),"")</f>
        <v>200</v>
      </c>
      <c r="G24">
        <f>IFERROR(VLOOKUP(B24,'Product List'!B:G,5,FALSE),"")</f>
        <v>20</v>
      </c>
      <c r="H24">
        <f t="shared" si="0"/>
        <v>60</v>
      </c>
      <c r="I24" t="s">
        <v>44</v>
      </c>
    </row>
    <row r="25" spans="1:9">
      <c r="A25" s="7">
        <v>44595</v>
      </c>
      <c r="B25" t="s">
        <v>28</v>
      </c>
      <c r="C25" t="str">
        <f>IFERROR(VLOOKUP(B25,'Product List'!B:G,2,),"")</f>
        <v>Electronics</v>
      </c>
      <c r="D25">
        <v>4</v>
      </c>
      <c r="E25">
        <f>IFERROR(VLOOKUP(B25,'Product List'!B:G,3,FALSE),"")</f>
        <v>180</v>
      </c>
      <c r="F25">
        <f>IFERROR(VLOOKUP(B25,'Product List'!B:G,4,FALSE),"")</f>
        <v>200</v>
      </c>
      <c r="G25">
        <f>IFERROR(VLOOKUP(B25,'Product List'!B:G,5,FALSE),"")</f>
        <v>20</v>
      </c>
      <c r="H25">
        <f t="shared" si="0"/>
        <v>80</v>
      </c>
      <c r="I25" t="s">
        <v>44</v>
      </c>
    </row>
    <row r="26" spans="1:9">
      <c r="A26" s="7">
        <v>44623</v>
      </c>
      <c r="B26" t="s">
        <v>27</v>
      </c>
      <c r="C26" t="str">
        <f>IFERROR(VLOOKUP(B26,'Product List'!B:G,2,),"")</f>
        <v>Beauty</v>
      </c>
      <c r="D26">
        <v>10</v>
      </c>
      <c r="E26">
        <f>IFERROR(VLOOKUP(B26,'Product List'!B:G,3,FALSE),"")</f>
        <v>120</v>
      </c>
      <c r="F26">
        <f>IFERROR(VLOOKUP(B26,'Product List'!B:G,4,FALSE),"")</f>
        <v>240</v>
      </c>
      <c r="G26">
        <f>IFERROR(VLOOKUP(B26,'Product List'!B:G,5,FALSE),"")</f>
        <v>120</v>
      </c>
      <c r="H26">
        <f t="shared" si="0"/>
        <v>1200</v>
      </c>
      <c r="I26" t="s">
        <v>45</v>
      </c>
    </row>
    <row r="27" spans="1:9">
      <c r="A27" s="7">
        <v>44654</v>
      </c>
      <c r="B27" t="s">
        <v>28</v>
      </c>
      <c r="C27" t="str">
        <f>IFERROR(VLOOKUP(B27,'Product List'!B:G,2,),"")</f>
        <v>Electronics</v>
      </c>
      <c r="D27">
        <v>4</v>
      </c>
      <c r="E27">
        <f>IFERROR(VLOOKUP(B27,'Product List'!B:G,3,FALSE),"")</f>
        <v>180</v>
      </c>
      <c r="F27">
        <f>IFERROR(VLOOKUP(B27,'Product List'!B:G,4,FALSE),"")</f>
        <v>200</v>
      </c>
      <c r="G27">
        <f>IFERROR(VLOOKUP(B27,'Product List'!B:G,5,FALSE),"")</f>
        <v>20</v>
      </c>
      <c r="H27">
        <f t="shared" si="0"/>
        <v>80</v>
      </c>
      <c r="I27" t="s">
        <v>45</v>
      </c>
    </row>
    <row r="28" spans="1:9">
      <c r="A28" s="7">
        <v>44745</v>
      </c>
      <c r="B28" t="s">
        <v>73</v>
      </c>
      <c r="C28" t="str">
        <f>IFERROR(VLOOKUP(B28,'Product List'!B:G,2,),"")</f>
        <v>Drinks</v>
      </c>
      <c r="D28">
        <v>4</v>
      </c>
      <c r="E28">
        <f>IFERROR(VLOOKUP(B28,'Product List'!B:G,3,FALSE),"")</f>
        <v>900</v>
      </c>
      <c r="F28">
        <f>IFERROR(VLOOKUP(B28,'Product List'!B:G,4,FALSE),"")</f>
        <v>1000</v>
      </c>
      <c r="G28">
        <f>IFERROR(VLOOKUP(B28,'Product List'!B:G,5,FALSE),"")</f>
        <v>100</v>
      </c>
      <c r="H28">
        <f>IF(D28="", "", D28 * G28)</f>
        <v>400</v>
      </c>
    </row>
    <row r="29" spans="1:9">
      <c r="A29" s="7">
        <v>44749</v>
      </c>
      <c r="B29" t="s">
        <v>74</v>
      </c>
      <c r="C29" t="str">
        <f>IFERROR(VLOOKUP(B29,'Product List'!B:G,2,),"")</f>
        <v>Drinks</v>
      </c>
      <c r="D29">
        <v>4</v>
      </c>
      <c r="E29">
        <f>IFERROR(VLOOKUP(B29,'Product List'!B:G,3,FALSE),"")</f>
        <v>700</v>
      </c>
      <c r="F29">
        <f>IFERROR(VLOOKUP(B29,'Product List'!B:G,4,FALSE),"")</f>
        <v>890</v>
      </c>
      <c r="G29">
        <f>IFERROR(VLOOKUP(B29,'Product List'!B:G,5,FALSE),"")</f>
        <v>190</v>
      </c>
      <c r="H29">
        <f>IF(D29="", "", D29 * G29)</f>
        <v>760</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33F21982-BC1A-4221-8956-689463F4C244}">
          <x14:formula1>
            <xm:f>'Product List'!$B$2:$B$33</xm:f>
          </x14:formula1>
          <xm:sqref>B2:B29</xm:sqref>
        </x14:dataValidation>
        <x14:dataValidation type="list" allowBlank="1" showInputMessage="1" showErrorMessage="1" xr:uid="{2A363073-B06C-4559-BE7F-1B3DB138659D}">
          <x14:formula1>
            <xm:f>Settings!$B$2:$B$5</xm:f>
          </x14:formula1>
          <xm:sqref>I2:I29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84A03-46D9-4984-99F3-C1B1F5E0E4EC}">
  <sheetPr codeName="Sheet6"/>
  <dimension ref="A1:G70"/>
  <sheetViews>
    <sheetView workbookViewId="0">
      <selection activeCell="F1" sqref="F1"/>
    </sheetView>
  </sheetViews>
  <sheetFormatPr defaultRowHeight="14.5"/>
  <cols>
    <col min="1" max="1" width="18.6328125" customWidth="1"/>
    <col min="2" max="2" width="23.81640625" customWidth="1"/>
    <col min="3" max="3" width="14.90625" customWidth="1"/>
    <col min="4" max="4" width="16.08984375" customWidth="1"/>
    <col min="5" max="5" width="15" customWidth="1"/>
    <col min="6" max="6" width="16.08984375" customWidth="1"/>
    <col min="7" max="7" width="24.81640625" customWidth="1"/>
  </cols>
  <sheetData>
    <row r="1" spans="1:7">
      <c r="A1" t="s">
        <v>12</v>
      </c>
      <c r="B1" t="s">
        <v>13</v>
      </c>
      <c r="C1" t="s">
        <v>14</v>
      </c>
      <c r="D1" t="s">
        <v>15</v>
      </c>
      <c r="E1" t="s">
        <v>16</v>
      </c>
      <c r="F1" t="s">
        <v>17</v>
      </c>
      <c r="G1" t="s">
        <v>18</v>
      </c>
    </row>
    <row r="2" spans="1:7">
      <c r="A2" t="s">
        <v>30</v>
      </c>
      <c r="B2" t="s">
        <v>26</v>
      </c>
      <c r="C2" t="s">
        <v>20</v>
      </c>
      <c r="D2">
        <v>1000</v>
      </c>
      <c r="E2">
        <v>2300</v>
      </c>
      <c r="F2">
        <f>IF(AND(ISNUMBER(D2), ISNUMBER(E2)), E2 - D2, "")</f>
        <v>1300</v>
      </c>
      <c r="G2">
        <v>20</v>
      </c>
    </row>
    <row r="3" spans="1:7">
      <c r="A3" t="s">
        <v>31</v>
      </c>
      <c r="B3" s="2" t="s">
        <v>27</v>
      </c>
      <c r="C3" t="s">
        <v>24</v>
      </c>
      <c r="D3">
        <v>120</v>
      </c>
      <c r="E3">
        <v>240</v>
      </c>
      <c r="F3">
        <f t="shared" ref="F3:F67" si="0">IF(AND(ISNUMBER(D3), ISNUMBER(E3)), E3 - D3, "")</f>
        <v>120</v>
      </c>
      <c r="G3">
        <v>3</v>
      </c>
    </row>
    <row r="4" spans="1:7">
      <c r="A4" t="s">
        <v>32</v>
      </c>
      <c r="B4" t="s">
        <v>28</v>
      </c>
      <c r="C4" t="s">
        <v>23</v>
      </c>
      <c r="D4">
        <v>180</v>
      </c>
      <c r="E4">
        <v>200</v>
      </c>
      <c r="F4">
        <f t="shared" si="0"/>
        <v>20</v>
      </c>
      <c r="G4">
        <v>3</v>
      </c>
    </row>
    <row r="5" spans="1:7">
      <c r="A5" t="s">
        <v>33</v>
      </c>
      <c r="B5" t="s">
        <v>29</v>
      </c>
      <c r="C5" t="s">
        <v>22</v>
      </c>
      <c r="D5">
        <v>500</v>
      </c>
      <c r="E5">
        <v>700</v>
      </c>
      <c r="F5">
        <f t="shared" si="0"/>
        <v>200</v>
      </c>
      <c r="G5">
        <v>12</v>
      </c>
    </row>
    <row r="6" spans="1:7">
      <c r="A6" t="s">
        <v>102</v>
      </c>
      <c r="B6" t="s">
        <v>73</v>
      </c>
      <c r="C6" t="s">
        <v>19</v>
      </c>
      <c r="D6">
        <v>900</v>
      </c>
      <c r="E6">
        <v>1000</v>
      </c>
      <c r="F6">
        <f t="shared" si="0"/>
        <v>100</v>
      </c>
      <c r="G6">
        <v>12</v>
      </c>
    </row>
    <row r="7" spans="1:7">
      <c r="A7" t="s">
        <v>103</v>
      </c>
      <c r="B7" t="s">
        <v>74</v>
      </c>
      <c r="C7" t="s">
        <v>19</v>
      </c>
      <c r="D7">
        <v>700</v>
      </c>
      <c r="E7">
        <v>890</v>
      </c>
      <c r="F7">
        <f t="shared" si="0"/>
        <v>190</v>
      </c>
      <c r="G7">
        <v>12</v>
      </c>
    </row>
    <row r="8" spans="1:7">
      <c r="A8" t="s">
        <v>104</v>
      </c>
      <c r="B8" t="s">
        <v>75</v>
      </c>
      <c r="C8" t="s">
        <v>19</v>
      </c>
      <c r="D8">
        <v>700</v>
      </c>
      <c r="E8">
        <v>1000</v>
      </c>
      <c r="F8">
        <f t="shared" si="0"/>
        <v>300</v>
      </c>
      <c r="G8">
        <v>12</v>
      </c>
    </row>
    <row r="9" spans="1:7">
      <c r="A9" t="s">
        <v>105</v>
      </c>
      <c r="B9" t="s">
        <v>76</v>
      </c>
      <c r="C9" t="s">
        <v>19</v>
      </c>
      <c r="D9">
        <v>700</v>
      </c>
      <c r="E9">
        <v>1000</v>
      </c>
      <c r="F9">
        <f t="shared" si="0"/>
        <v>300</v>
      </c>
      <c r="G9">
        <v>12</v>
      </c>
    </row>
    <row r="10" spans="1:7">
      <c r="A10" t="s">
        <v>106</v>
      </c>
      <c r="B10" t="s">
        <v>77</v>
      </c>
      <c r="C10" t="s">
        <v>19</v>
      </c>
      <c r="D10">
        <v>700</v>
      </c>
      <c r="E10">
        <v>1000</v>
      </c>
      <c r="F10">
        <f t="shared" si="0"/>
        <v>300</v>
      </c>
      <c r="G10">
        <v>12</v>
      </c>
    </row>
    <row r="11" spans="1:7">
      <c r="A11" t="s">
        <v>107</v>
      </c>
      <c r="B11" t="s">
        <v>78</v>
      </c>
      <c r="C11" t="s">
        <v>20</v>
      </c>
      <c r="D11">
        <v>1200</v>
      </c>
      <c r="E11">
        <v>2500</v>
      </c>
      <c r="F11">
        <f t="shared" si="0"/>
        <v>1300</v>
      </c>
      <c r="G11">
        <v>12</v>
      </c>
    </row>
    <row r="12" spans="1:7">
      <c r="A12" t="s">
        <v>108</v>
      </c>
      <c r="B12" t="s">
        <v>79</v>
      </c>
      <c r="C12" t="s">
        <v>20</v>
      </c>
      <c r="D12">
        <v>1300</v>
      </c>
      <c r="E12">
        <v>2500</v>
      </c>
      <c r="F12">
        <f t="shared" si="0"/>
        <v>1200</v>
      </c>
      <c r="G12">
        <v>12</v>
      </c>
    </row>
    <row r="13" spans="1:7">
      <c r="A13" t="s">
        <v>109</v>
      </c>
      <c r="B13" t="s">
        <v>80</v>
      </c>
      <c r="C13" t="s">
        <v>20</v>
      </c>
      <c r="D13">
        <v>1000</v>
      </c>
      <c r="E13">
        <v>2500</v>
      </c>
      <c r="F13">
        <f t="shared" si="0"/>
        <v>1500</v>
      </c>
      <c r="G13">
        <v>12</v>
      </c>
    </row>
    <row r="14" spans="1:7">
      <c r="A14" t="s">
        <v>110</v>
      </c>
      <c r="B14" t="s">
        <v>81</v>
      </c>
      <c r="C14" t="s">
        <v>20</v>
      </c>
      <c r="D14">
        <v>1000</v>
      </c>
      <c r="E14">
        <v>2500</v>
      </c>
      <c r="F14">
        <f t="shared" si="0"/>
        <v>1500</v>
      </c>
      <c r="G14">
        <v>12</v>
      </c>
    </row>
    <row r="15" spans="1:7">
      <c r="A15" t="s">
        <v>111</v>
      </c>
      <c r="B15" t="s">
        <v>82</v>
      </c>
      <c r="C15" t="s">
        <v>20</v>
      </c>
      <c r="D15">
        <v>1200</v>
      </c>
      <c r="E15">
        <v>2500</v>
      </c>
      <c r="F15">
        <f t="shared" si="0"/>
        <v>1300</v>
      </c>
      <c r="G15">
        <v>12</v>
      </c>
    </row>
    <row r="16" spans="1:7">
      <c r="A16" t="s">
        <v>112</v>
      </c>
      <c r="B16" t="s">
        <v>83</v>
      </c>
      <c r="C16" t="s">
        <v>21</v>
      </c>
      <c r="D16">
        <v>1200</v>
      </c>
      <c r="E16">
        <v>1400</v>
      </c>
      <c r="F16">
        <f t="shared" si="0"/>
        <v>200</v>
      </c>
      <c r="G16">
        <v>12</v>
      </c>
    </row>
    <row r="17" spans="1:7">
      <c r="A17" t="s">
        <v>113</v>
      </c>
      <c r="B17" t="s">
        <v>84</v>
      </c>
      <c r="C17" t="s">
        <v>21</v>
      </c>
      <c r="D17">
        <v>1100</v>
      </c>
      <c r="E17">
        <v>2100</v>
      </c>
      <c r="F17">
        <f t="shared" si="0"/>
        <v>1000</v>
      </c>
      <c r="G17">
        <v>12</v>
      </c>
    </row>
    <row r="18" spans="1:7">
      <c r="A18" t="s">
        <v>114</v>
      </c>
      <c r="B18" t="s">
        <v>85</v>
      </c>
      <c r="C18" t="s">
        <v>21</v>
      </c>
      <c r="D18">
        <v>3000</v>
      </c>
      <c r="E18">
        <v>3400</v>
      </c>
      <c r="F18">
        <f t="shared" si="0"/>
        <v>400</v>
      </c>
      <c r="G18">
        <v>12</v>
      </c>
    </row>
    <row r="19" spans="1:7">
      <c r="A19" t="s">
        <v>115</v>
      </c>
      <c r="B19" t="s">
        <v>86</v>
      </c>
      <c r="C19" t="s">
        <v>21</v>
      </c>
      <c r="D19">
        <v>1500</v>
      </c>
      <c r="E19">
        <v>2000</v>
      </c>
      <c r="F19">
        <f t="shared" si="0"/>
        <v>500</v>
      </c>
      <c r="G19">
        <v>12</v>
      </c>
    </row>
    <row r="20" spans="1:7">
      <c r="A20" t="s">
        <v>116</v>
      </c>
      <c r="B20" t="s">
        <v>87</v>
      </c>
      <c r="C20" t="s">
        <v>21</v>
      </c>
      <c r="D20">
        <v>1220</v>
      </c>
      <c r="E20">
        <v>2000</v>
      </c>
      <c r="F20">
        <f t="shared" si="0"/>
        <v>780</v>
      </c>
      <c r="G20">
        <v>12</v>
      </c>
    </row>
    <row r="21" spans="1:7">
      <c r="A21" t="s">
        <v>117</v>
      </c>
      <c r="B21" t="s">
        <v>100</v>
      </c>
      <c r="C21" t="s">
        <v>21</v>
      </c>
      <c r="D21">
        <v>1300</v>
      </c>
      <c r="E21">
        <v>1600</v>
      </c>
      <c r="F21">
        <f t="shared" si="0"/>
        <v>300</v>
      </c>
      <c r="G21">
        <v>20</v>
      </c>
    </row>
    <row r="22" spans="1:7">
      <c r="A22" t="s">
        <v>118</v>
      </c>
      <c r="B22" t="s">
        <v>88</v>
      </c>
      <c r="C22" t="s">
        <v>22</v>
      </c>
      <c r="D22">
        <v>230</v>
      </c>
      <c r="E22">
        <v>500</v>
      </c>
      <c r="F22">
        <f t="shared" si="0"/>
        <v>270</v>
      </c>
      <c r="G22">
        <v>12</v>
      </c>
    </row>
    <row r="23" spans="1:7">
      <c r="A23" t="s">
        <v>119</v>
      </c>
      <c r="B23" t="s">
        <v>89</v>
      </c>
      <c r="C23" t="s">
        <v>22</v>
      </c>
      <c r="D23">
        <v>230</v>
      </c>
      <c r="E23">
        <v>500</v>
      </c>
      <c r="F23">
        <f t="shared" si="0"/>
        <v>270</v>
      </c>
      <c r="G23">
        <v>12</v>
      </c>
    </row>
    <row r="24" spans="1:7">
      <c r="A24" t="s">
        <v>120</v>
      </c>
      <c r="B24" t="s">
        <v>90</v>
      </c>
      <c r="C24" t="s">
        <v>22</v>
      </c>
      <c r="D24">
        <v>330</v>
      </c>
      <c r="E24">
        <v>1200</v>
      </c>
      <c r="F24">
        <f t="shared" si="0"/>
        <v>870</v>
      </c>
      <c r="G24">
        <v>12</v>
      </c>
    </row>
    <row r="25" spans="1:7">
      <c r="A25" t="s">
        <v>121</v>
      </c>
      <c r="B25" t="s">
        <v>91</v>
      </c>
      <c r="C25" t="s">
        <v>22</v>
      </c>
      <c r="D25">
        <v>930</v>
      </c>
      <c r="E25">
        <v>1200</v>
      </c>
      <c r="F25">
        <f t="shared" si="0"/>
        <v>270</v>
      </c>
      <c r="G25">
        <v>12</v>
      </c>
    </row>
    <row r="26" spans="1:7">
      <c r="A26" t="s">
        <v>122</v>
      </c>
      <c r="B26" t="s">
        <v>92</v>
      </c>
      <c r="C26" t="s">
        <v>23</v>
      </c>
      <c r="D26">
        <v>2000</v>
      </c>
      <c r="E26">
        <v>2400</v>
      </c>
      <c r="F26">
        <f t="shared" si="0"/>
        <v>400</v>
      </c>
      <c r="G26">
        <v>12</v>
      </c>
    </row>
    <row r="27" spans="1:7">
      <c r="A27" t="s">
        <v>123</v>
      </c>
      <c r="B27" t="s">
        <v>93</v>
      </c>
      <c r="C27" t="s">
        <v>23</v>
      </c>
      <c r="D27">
        <v>2300</v>
      </c>
      <c r="E27">
        <v>2400</v>
      </c>
      <c r="F27">
        <f t="shared" si="0"/>
        <v>100</v>
      </c>
      <c r="G27">
        <v>12</v>
      </c>
    </row>
    <row r="28" spans="1:7">
      <c r="A28" t="s">
        <v>124</v>
      </c>
      <c r="B28" t="s">
        <v>94</v>
      </c>
      <c r="C28" t="s">
        <v>23</v>
      </c>
      <c r="D28">
        <v>3400</v>
      </c>
      <c r="E28">
        <v>3500</v>
      </c>
      <c r="F28">
        <f t="shared" si="0"/>
        <v>100</v>
      </c>
      <c r="G28">
        <v>12</v>
      </c>
    </row>
    <row r="29" spans="1:7">
      <c r="A29" t="s">
        <v>125</v>
      </c>
      <c r="B29" t="s">
        <v>95</v>
      </c>
      <c r="C29" t="s">
        <v>23</v>
      </c>
      <c r="D29">
        <v>3400</v>
      </c>
      <c r="E29">
        <v>3500</v>
      </c>
      <c r="F29">
        <f t="shared" si="0"/>
        <v>100</v>
      </c>
      <c r="G29">
        <v>12</v>
      </c>
    </row>
    <row r="30" spans="1:7">
      <c r="A30" t="s">
        <v>126</v>
      </c>
      <c r="B30" t="s">
        <v>96</v>
      </c>
      <c r="C30" t="s">
        <v>24</v>
      </c>
      <c r="D30">
        <v>3400</v>
      </c>
      <c r="E30">
        <v>3500</v>
      </c>
      <c r="F30">
        <f t="shared" si="0"/>
        <v>100</v>
      </c>
      <c r="G30">
        <v>12</v>
      </c>
    </row>
    <row r="31" spans="1:7">
      <c r="A31" t="s">
        <v>127</v>
      </c>
      <c r="B31" t="s">
        <v>97</v>
      </c>
      <c r="C31" t="s">
        <v>24</v>
      </c>
      <c r="D31">
        <v>3400</v>
      </c>
      <c r="E31">
        <v>3500</v>
      </c>
      <c r="F31">
        <f t="shared" si="0"/>
        <v>100</v>
      </c>
      <c r="G31">
        <v>12</v>
      </c>
    </row>
    <row r="32" spans="1:7">
      <c r="A32" t="s">
        <v>128</v>
      </c>
      <c r="B32" t="s">
        <v>98</v>
      </c>
      <c r="C32" t="s">
        <v>24</v>
      </c>
      <c r="D32">
        <v>3400</v>
      </c>
      <c r="E32">
        <v>3500</v>
      </c>
      <c r="F32">
        <f t="shared" si="0"/>
        <v>100</v>
      </c>
      <c r="G32">
        <v>12</v>
      </c>
    </row>
    <row r="33" spans="1:7">
      <c r="A33" t="s">
        <v>129</v>
      </c>
      <c r="B33" t="s">
        <v>99</v>
      </c>
      <c r="C33" t="s">
        <v>24</v>
      </c>
      <c r="D33">
        <v>2300</v>
      </c>
      <c r="E33">
        <v>3500</v>
      </c>
      <c r="F33">
        <f t="shared" si="0"/>
        <v>1200</v>
      </c>
      <c r="G33">
        <v>12</v>
      </c>
    </row>
    <row r="34" spans="1:7">
      <c r="F34" t="str">
        <f t="shared" si="0"/>
        <v/>
      </c>
    </row>
    <row r="35" spans="1:7">
      <c r="F35" t="str">
        <f t="shared" si="0"/>
        <v/>
      </c>
    </row>
    <row r="36" spans="1:7">
      <c r="F36" t="str">
        <f t="shared" si="0"/>
        <v/>
      </c>
    </row>
    <row r="37" spans="1:7">
      <c r="F37" t="str">
        <f t="shared" si="0"/>
        <v/>
      </c>
    </row>
    <row r="38" spans="1:7">
      <c r="F38" t="str">
        <f t="shared" si="0"/>
        <v/>
      </c>
    </row>
    <row r="39" spans="1:7">
      <c r="F39" t="str">
        <f t="shared" si="0"/>
        <v/>
      </c>
    </row>
    <row r="40" spans="1:7">
      <c r="F40" t="str">
        <f t="shared" si="0"/>
        <v/>
      </c>
    </row>
    <row r="41" spans="1:7">
      <c r="F41" t="str">
        <f t="shared" si="0"/>
        <v/>
      </c>
    </row>
    <row r="42" spans="1:7">
      <c r="F42" t="str">
        <f t="shared" si="0"/>
        <v/>
      </c>
    </row>
    <row r="43" spans="1:7">
      <c r="F43" t="str">
        <f t="shared" si="0"/>
        <v/>
      </c>
    </row>
    <row r="44" spans="1:7">
      <c r="F44" t="str">
        <f t="shared" si="0"/>
        <v/>
      </c>
    </row>
    <row r="45" spans="1:7">
      <c r="F45" t="str">
        <f t="shared" si="0"/>
        <v/>
      </c>
    </row>
    <row r="46" spans="1:7">
      <c r="F46" t="str">
        <f t="shared" si="0"/>
        <v/>
      </c>
    </row>
    <row r="47" spans="1:7">
      <c r="F47" t="str">
        <f t="shared" si="0"/>
        <v/>
      </c>
    </row>
    <row r="48" spans="1:7">
      <c r="F48" t="str">
        <f t="shared" si="0"/>
        <v/>
      </c>
    </row>
    <row r="49" spans="6:6">
      <c r="F49" t="str">
        <f t="shared" si="0"/>
        <v/>
      </c>
    </row>
    <row r="50" spans="6:6">
      <c r="F50" t="str">
        <f t="shared" si="0"/>
        <v/>
      </c>
    </row>
    <row r="51" spans="6:6">
      <c r="F51" t="str">
        <f t="shared" si="0"/>
        <v/>
      </c>
    </row>
    <row r="52" spans="6:6">
      <c r="F52" t="str">
        <f t="shared" si="0"/>
        <v/>
      </c>
    </row>
    <row r="53" spans="6:6">
      <c r="F53" t="str">
        <f t="shared" si="0"/>
        <v/>
      </c>
    </row>
    <row r="54" spans="6:6">
      <c r="F54" t="str">
        <f t="shared" si="0"/>
        <v/>
      </c>
    </row>
    <row r="55" spans="6:6">
      <c r="F55" t="str">
        <f t="shared" si="0"/>
        <v/>
      </c>
    </row>
    <row r="56" spans="6:6">
      <c r="F56" t="str">
        <f t="shared" si="0"/>
        <v/>
      </c>
    </row>
    <row r="57" spans="6:6">
      <c r="F57" t="str">
        <f t="shared" si="0"/>
        <v/>
      </c>
    </row>
    <row r="58" spans="6:6">
      <c r="F58" t="str">
        <f t="shared" si="0"/>
        <v/>
      </c>
    </row>
    <row r="59" spans="6:6">
      <c r="F59" t="str">
        <f t="shared" si="0"/>
        <v/>
      </c>
    </row>
    <row r="60" spans="6:6">
      <c r="F60" t="str">
        <f t="shared" si="0"/>
        <v/>
      </c>
    </row>
    <row r="61" spans="6:6">
      <c r="F61" t="str">
        <f t="shared" si="0"/>
        <v/>
      </c>
    </row>
    <row r="62" spans="6:6">
      <c r="F62" t="str">
        <f t="shared" si="0"/>
        <v/>
      </c>
    </row>
    <row r="63" spans="6:6">
      <c r="F63" t="str">
        <f t="shared" si="0"/>
        <v/>
      </c>
    </row>
    <row r="64" spans="6:6">
      <c r="F64" t="str">
        <f t="shared" si="0"/>
        <v/>
      </c>
    </row>
    <row r="65" spans="6:6">
      <c r="F65" t="str">
        <f t="shared" si="0"/>
        <v/>
      </c>
    </row>
    <row r="66" spans="6:6">
      <c r="F66" t="str">
        <f t="shared" si="0"/>
        <v/>
      </c>
    </row>
    <row r="67" spans="6:6">
      <c r="F67" t="str">
        <f t="shared" si="0"/>
        <v/>
      </c>
    </row>
    <row r="68" spans="6:6">
      <c r="F68" t="str">
        <f t="shared" ref="F68:F70" si="1">IF(AND(ISNUMBER(D68), ISNUMBER(E68)), E68 - D68, "")</f>
        <v/>
      </c>
    </row>
    <row r="69" spans="6:6">
      <c r="F69" t="str">
        <f t="shared" si="1"/>
        <v/>
      </c>
    </row>
    <row r="70" spans="6:6">
      <c r="F70" t="str">
        <f t="shared" si="1"/>
        <v/>
      </c>
    </row>
  </sheetData>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5319B1-6FB4-42C8-8704-67FE339B2573}">
          <x14:formula1>
            <xm:f>Settings!$A$1:$A$7</xm:f>
          </x14:formula1>
          <xm:sqref>C2:C1048576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305D-A6DC-4F3F-966E-F5CAE1E27F51}">
  <sheetPr codeName="Sheet7"/>
  <dimension ref="A1:D9"/>
  <sheetViews>
    <sheetView workbookViewId="0">
      <selection activeCell="G9" sqref="G9"/>
    </sheetView>
  </sheetViews>
  <sheetFormatPr defaultRowHeight="14.5"/>
  <cols>
    <col min="1" max="1" width="15.6328125" customWidth="1"/>
    <col min="2" max="2" width="15.81640625" customWidth="1"/>
    <col min="4" max="4" width="18.6328125" customWidth="1"/>
  </cols>
  <sheetData>
    <row r="1" spans="1:4">
      <c r="A1" s="4" t="s">
        <v>19</v>
      </c>
      <c r="B1" s="5" t="s">
        <v>42</v>
      </c>
      <c r="D1" s="5" t="s">
        <v>52</v>
      </c>
    </row>
    <row r="2" spans="1:4">
      <c r="A2" s="4" t="s">
        <v>20</v>
      </c>
      <c r="B2" t="s">
        <v>43</v>
      </c>
      <c r="D2" t="s">
        <v>53</v>
      </c>
    </row>
    <row r="3" spans="1:4">
      <c r="A3" s="4" t="s">
        <v>21</v>
      </c>
      <c r="B3" t="s">
        <v>44</v>
      </c>
      <c r="D3" t="s">
        <v>54</v>
      </c>
    </row>
    <row r="4" spans="1:4">
      <c r="A4" s="4" t="s">
        <v>22</v>
      </c>
      <c r="B4" t="s">
        <v>45</v>
      </c>
      <c r="D4" t="s">
        <v>55</v>
      </c>
    </row>
    <row r="5" spans="1:4">
      <c r="A5" s="4" t="s">
        <v>23</v>
      </c>
      <c r="B5" t="s">
        <v>46</v>
      </c>
      <c r="D5" t="s">
        <v>56</v>
      </c>
    </row>
    <row r="6" spans="1:4">
      <c r="A6" s="4" t="s">
        <v>24</v>
      </c>
      <c r="D6" t="s">
        <v>57</v>
      </c>
    </row>
    <row r="7" spans="1:4">
      <c r="A7" s="4" t="s">
        <v>25</v>
      </c>
      <c r="D7" t="s">
        <v>58</v>
      </c>
    </row>
    <row r="8" spans="1:4">
      <c r="D8" t="s">
        <v>59</v>
      </c>
    </row>
    <row r="9" spans="1:4">
      <c r="D9" t="s">
        <v>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3E57C-E0CC-4843-B7FC-73FA78711355}">
  <sheetPr codeName="Sheet8"/>
  <dimension ref="A1:D6"/>
  <sheetViews>
    <sheetView showGridLines="0" showRowColHeaders="0" zoomScale="90" zoomScaleNormal="90" workbookViewId="0">
      <selection activeCell="R6" sqref="R6"/>
    </sheetView>
  </sheetViews>
  <sheetFormatPr defaultRowHeight="14.5"/>
  <cols>
    <col min="4" max="4" width="17" customWidth="1"/>
  </cols>
  <sheetData>
    <row r="1" spans="1:4">
      <c r="A1" s="1"/>
      <c r="B1" s="1"/>
      <c r="C1" s="1"/>
      <c r="D1" s="1"/>
    </row>
    <row r="2" spans="1:4">
      <c r="A2" s="2"/>
      <c r="B2" s="2"/>
      <c r="C2" s="2"/>
      <c r="D2" s="3"/>
    </row>
    <row r="3" spans="1:4">
      <c r="A3" s="2"/>
      <c r="B3" s="2"/>
      <c r="C3" s="2"/>
      <c r="D3" s="3"/>
    </row>
    <row r="4" spans="1:4">
      <c r="A4" s="2"/>
      <c r="B4" s="2"/>
      <c r="C4" s="2"/>
      <c r="D4" s="3"/>
    </row>
    <row r="5" spans="1:4">
      <c r="A5" s="2"/>
      <c r="B5" s="2"/>
      <c r="C5" s="2"/>
      <c r="D5" s="3"/>
    </row>
    <row r="6" spans="1:4">
      <c r="A6" s="2"/>
      <c r="B6" s="2"/>
      <c r="C6" s="2"/>
      <c r="D6" s="3"/>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977A-A4E2-4464-8D90-4CB0313F0A45}">
  <sheetPr codeName="Sheet9"/>
  <dimension ref="A1:C8"/>
  <sheetViews>
    <sheetView topLeftCell="A2" workbookViewId="0">
      <selection activeCell="C2" sqref="C2:C8"/>
    </sheetView>
  </sheetViews>
  <sheetFormatPr defaultRowHeight="14.5"/>
  <cols>
    <col min="1" max="1" width="16.81640625" customWidth="1"/>
    <col min="2" max="2" width="22.54296875" customWidth="1"/>
    <col min="3" max="3" width="19.90625" customWidth="1"/>
  </cols>
  <sheetData>
    <row r="1" spans="1:3">
      <c r="A1" s="1" t="s">
        <v>61</v>
      </c>
      <c r="B1" s="1" t="s">
        <v>62</v>
      </c>
      <c r="C1" s="1" t="s">
        <v>63</v>
      </c>
    </row>
    <row r="2" spans="1:3" ht="69.5" customHeight="1">
      <c r="A2" s="2" t="s">
        <v>64</v>
      </c>
      <c r="B2" s="2" t="s">
        <v>101</v>
      </c>
      <c r="C2" s="12">
        <f>SUMPRODUCT('Sales Entry'!D2:D29,'Sales Entry'!F2:F29)</f>
        <v>147420</v>
      </c>
    </row>
    <row r="3" spans="1:3" ht="80" customHeight="1">
      <c r="A3" s="2" t="s">
        <v>65</v>
      </c>
      <c r="B3" s="2" t="s">
        <v>66</v>
      </c>
      <c r="C3" s="12">
        <f>SUMPRODUCT('Sales Entry'!E2:E29,'Sales Entry'!D2:D29)</f>
        <v>101220</v>
      </c>
    </row>
    <row r="4" spans="1:3" ht="26" customHeight="1">
      <c r="A4" s="2" t="s">
        <v>67</v>
      </c>
      <c r="B4" s="2" t="s">
        <v>68</v>
      </c>
      <c r="C4" s="12">
        <f>SUMPRODUCT('Sales Entry'!G2:G29,'Sales Entry'!D2:D29)</f>
        <v>46200</v>
      </c>
    </row>
    <row r="5" spans="1:3">
      <c r="A5" s="2" t="s">
        <v>69</v>
      </c>
      <c r="B5" s="2" t="s">
        <v>70</v>
      </c>
      <c r="C5" s="8">
        <f>SUM('Expense Log'!D2:D70)</f>
        <v>11423</v>
      </c>
    </row>
    <row r="6" spans="1:3">
      <c r="A6" s="2" t="s">
        <v>71</v>
      </c>
      <c r="B6" s="2" t="s">
        <v>72</v>
      </c>
      <c r="C6" s="8">
        <f>C4-C5</f>
        <v>34777</v>
      </c>
    </row>
    <row r="7" spans="1:3">
      <c r="C7" s="6"/>
    </row>
    <row r="8" spans="1:3">
      <c r="C8"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pivot</vt:lpstr>
      <vt:lpstr>Sheet4</vt:lpstr>
      <vt:lpstr>Expense Log</vt:lpstr>
      <vt:lpstr>Sales Entry</vt:lpstr>
      <vt:lpstr>Product List</vt:lpstr>
      <vt:lpstr>Settings</vt:lpstr>
      <vt:lpstr>Dashboard</vt:lpstr>
      <vt:lpstr>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Abdulrasheed Aminu</dc:creator>
  <cp:lastModifiedBy>Abdulrasheed Aminu</cp:lastModifiedBy>
  <dcterms:created xsi:type="dcterms:W3CDTF">2025-08-04T03:23:39Z</dcterms:created>
  <dcterms:modified xsi:type="dcterms:W3CDTF">2025-08-04T15:43:54Z</dcterms:modified>
</cp:coreProperties>
</file>